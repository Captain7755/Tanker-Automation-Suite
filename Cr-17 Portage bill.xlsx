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vel\OneDrive\Документы\"/>
    </mc:Choice>
  </mc:AlternateContent>
  <xr:revisionPtr revIDLastSave="0" documentId="8_{46D8A99C-82C7-48C8-99FE-20438E344076}" xr6:coauthVersionLast="47" xr6:coauthVersionMax="47" xr10:uidLastSave="{00000000-0000-0000-0000-000000000000}"/>
  <bookViews>
    <workbookView xWindow="0" yWindow="727" windowWidth="21600" windowHeight="12773" tabRatio="894"/>
  </bookViews>
  <sheets>
    <sheet name="Portage Bill" sheetId="1" r:id="rId1"/>
    <sheet name="deduct list" sheetId="25" r:id="rId2"/>
    <sheet name="Master" sheetId="4" r:id="rId3"/>
    <sheet name="Chief mate" sheetId="5" r:id="rId4"/>
    <sheet name="2nd mate" sheetId="6" r:id="rId5"/>
    <sheet name="3rd mate" sheetId="7" r:id="rId6"/>
    <sheet name="Chief Engineer" sheetId="8" r:id="rId7"/>
    <sheet name="2nd Engineer" sheetId="9" r:id="rId8"/>
    <sheet name="3rd Engineer" sheetId="10" r:id="rId9"/>
    <sheet name="4th Eng" sheetId="41" r:id="rId10"/>
    <sheet name="El.eng" sheetId="55" r:id="rId11"/>
    <sheet name="BSN" sheetId="16" r:id="rId12"/>
    <sheet name="ABS1" sheetId="17" r:id="rId13"/>
    <sheet name="ABS2" sheetId="28" r:id="rId14"/>
    <sheet name="ABS 3 " sheetId="56" r:id="rId15"/>
    <sheet name="OS1" sheetId="57" r:id="rId16"/>
    <sheet name="OS2" sheetId="19" r:id="rId17"/>
    <sheet name="OLR1" sheetId="40" r:id="rId18"/>
    <sheet name="OLR2" sheetId="24" r:id="rId19"/>
    <sheet name="OLR3" sheetId="35" r:id="rId20"/>
    <sheet name="Wiper" sheetId="34" r:id="rId21"/>
    <sheet name="CCK" sheetId="36" r:id="rId22"/>
    <sheet name="MMN" sheetId="38" r:id="rId23"/>
    <sheet name="Welder" sheetId="43" r:id="rId24"/>
    <sheet name="EFITTER" sheetId="49" r:id="rId25"/>
    <sheet name="ELCTRN" sheetId="51" r:id="rId26"/>
    <sheet name="MM4 (5)" sheetId="54" r:id="rId27"/>
    <sheet name="MM4 (3)" sheetId="52" r:id="rId28"/>
    <sheet name="MM4 (4)" sheetId="53" r:id="rId29"/>
    <sheet name="Лист1" sheetId="59" r:id="rId30"/>
  </sheets>
  <definedNames>
    <definedName name="_xlnm.Print_Titles" localSheetId="0">'Portage Bill'!$B:$D</definedName>
    <definedName name="_xlnm.Print_Area" localSheetId="8">'3rd Engineer'!$A$1:$K$53</definedName>
    <definedName name="_xlnm.Print_Area" localSheetId="5">'3rd mate'!$A$1:$K$53</definedName>
  </definedNames>
  <calcPr calcId="191029" fullCalcOnLoad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0" i="51" l="1"/>
  <c r="C35" i="51"/>
  <c r="C34" i="51"/>
  <c r="C33" i="51"/>
  <c r="C31" i="51"/>
  <c r="C30" i="51"/>
  <c r="K23" i="51"/>
  <c r="I13" i="51"/>
  <c r="K8" i="49"/>
  <c r="K8" i="51"/>
  <c r="K7" i="51"/>
  <c r="B9" i="51"/>
  <c r="B8" i="51"/>
  <c r="G49" i="51"/>
  <c r="A38" i="51"/>
  <c r="A36" i="51"/>
  <c r="A30" i="51"/>
  <c r="C20" i="51"/>
  <c r="C19" i="51"/>
  <c r="C18" i="51"/>
  <c r="E13" i="51"/>
  <c r="C13" i="51"/>
  <c r="B6" i="51"/>
  <c r="A6" i="51"/>
  <c r="K40" i="49"/>
  <c r="C35" i="49"/>
  <c r="C34" i="49"/>
  <c r="C33" i="49"/>
  <c r="C31" i="49"/>
  <c r="C30" i="49"/>
  <c r="K23" i="49"/>
  <c r="I13" i="49"/>
  <c r="K7" i="49"/>
  <c r="B9" i="49"/>
  <c r="B8" i="49"/>
  <c r="G49" i="49"/>
  <c r="A38" i="49"/>
  <c r="A36" i="49"/>
  <c r="A30" i="49"/>
  <c r="C20" i="49"/>
  <c r="C19" i="49"/>
  <c r="C18" i="49"/>
  <c r="E13" i="49"/>
  <c r="C13" i="49"/>
  <c r="B6" i="49"/>
  <c r="A6" i="49"/>
  <c r="K40" i="43"/>
  <c r="C35" i="43"/>
  <c r="C34" i="43"/>
  <c r="C33" i="43"/>
  <c r="C31" i="43"/>
  <c r="C30" i="43"/>
  <c r="K23" i="43"/>
  <c r="K20" i="43"/>
  <c r="I13" i="43"/>
  <c r="K8" i="43"/>
  <c r="K7" i="43"/>
  <c r="B9" i="43"/>
  <c r="B8" i="43"/>
  <c r="G49" i="43"/>
  <c r="A38" i="43"/>
  <c r="A36" i="43"/>
  <c r="A30" i="43"/>
  <c r="C20" i="43"/>
  <c r="C19" i="43"/>
  <c r="C18" i="43"/>
  <c r="E13" i="43"/>
  <c r="C13" i="43"/>
  <c r="B6" i="43"/>
  <c r="A6" i="43"/>
  <c r="K40" i="38"/>
  <c r="C35" i="38"/>
  <c r="C34" i="38"/>
  <c r="C33" i="38"/>
  <c r="C32" i="38"/>
  <c r="C31" i="38"/>
  <c r="C30" i="38"/>
  <c r="K23" i="38"/>
  <c r="I13" i="38"/>
  <c r="K8" i="38"/>
  <c r="K7" i="38"/>
  <c r="B9" i="38"/>
  <c r="B8" i="38"/>
  <c r="G49" i="38"/>
  <c r="A38" i="38"/>
  <c r="A36" i="38"/>
  <c r="A30" i="38"/>
  <c r="C20" i="38"/>
  <c r="C19" i="38"/>
  <c r="C18" i="38"/>
  <c r="E13" i="38"/>
  <c r="C13" i="38"/>
  <c r="B6" i="38"/>
  <c r="A6" i="38"/>
  <c r="K40" i="36"/>
  <c r="C35" i="36"/>
  <c r="C34" i="36"/>
  <c r="C33" i="36"/>
  <c r="C32" i="36"/>
  <c r="C31" i="36"/>
  <c r="C30" i="36"/>
  <c r="K23" i="36"/>
  <c r="K20" i="36"/>
  <c r="I13" i="36"/>
  <c r="K8" i="36"/>
  <c r="K7" i="36"/>
  <c r="B9" i="36"/>
  <c r="B8" i="36"/>
  <c r="G49" i="36"/>
  <c r="A38" i="36"/>
  <c r="A36" i="36"/>
  <c r="A30" i="36"/>
  <c r="C20" i="36"/>
  <c r="C19" i="36"/>
  <c r="C18" i="36"/>
  <c r="E13" i="36"/>
  <c r="C13" i="36"/>
  <c r="B6" i="36"/>
  <c r="A6" i="36"/>
  <c r="K40" i="34"/>
  <c r="C35" i="34"/>
  <c r="C34" i="34"/>
  <c r="C33" i="34"/>
  <c r="C32" i="34"/>
  <c r="C31" i="34"/>
  <c r="C30" i="34"/>
  <c r="K23" i="34"/>
  <c r="I13" i="34"/>
  <c r="K8" i="34"/>
  <c r="K7" i="34"/>
  <c r="B9" i="34"/>
  <c r="B8" i="34"/>
  <c r="G49" i="34"/>
  <c r="A38" i="34"/>
  <c r="A36" i="34"/>
  <c r="A30" i="34"/>
  <c r="C20" i="34"/>
  <c r="C19" i="34"/>
  <c r="C18" i="34"/>
  <c r="E13" i="34"/>
  <c r="C13" i="34"/>
  <c r="B6" i="34"/>
  <c r="A6" i="34"/>
  <c r="K40" i="35"/>
  <c r="C35" i="35"/>
  <c r="C34" i="35"/>
  <c r="C33" i="35"/>
  <c r="C32" i="35"/>
  <c r="C31" i="35"/>
  <c r="C30" i="35"/>
  <c r="K23" i="35"/>
  <c r="I13" i="35"/>
  <c r="K8" i="35"/>
  <c r="K7" i="35"/>
  <c r="B9" i="35"/>
  <c r="B8" i="35"/>
  <c r="G49" i="35"/>
  <c r="A38" i="35"/>
  <c r="A36" i="35"/>
  <c r="A30" i="35"/>
  <c r="C20" i="35"/>
  <c r="C19" i="35"/>
  <c r="C18" i="35"/>
  <c r="E13" i="35"/>
  <c r="C13" i="35"/>
  <c r="B6" i="35"/>
  <c r="A6" i="35"/>
  <c r="K40" i="24"/>
  <c r="C35" i="24"/>
  <c r="C34" i="24"/>
  <c r="C33" i="24"/>
  <c r="C32" i="24"/>
  <c r="C31" i="24"/>
  <c r="C30" i="24"/>
  <c r="K23" i="24"/>
  <c r="I13" i="24"/>
  <c r="K8" i="24"/>
  <c r="K7" i="24"/>
  <c r="B9" i="24"/>
  <c r="B8" i="24"/>
  <c r="G49" i="24"/>
  <c r="A38" i="24"/>
  <c r="A36" i="24"/>
  <c r="A30" i="24"/>
  <c r="C20" i="24"/>
  <c r="C19" i="24"/>
  <c r="C18" i="24"/>
  <c r="E13" i="24"/>
  <c r="C13" i="24"/>
  <c r="B6" i="24"/>
  <c r="A6" i="24"/>
  <c r="K40" i="40"/>
  <c r="C35" i="40"/>
  <c r="C34" i="40"/>
  <c r="C33" i="40"/>
  <c r="C31" i="40"/>
  <c r="C30" i="40"/>
  <c r="K23" i="40"/>
  <c r="I13" i="40"/>
  <c r="K8" i="40"/>
  <c r="K7" i="40"/>
  <c r="B9" i="40"/>
  <c r="B8" i="40"/>
  <c r="G49" i="40"/>
  <c r="A38" i="40"/>
  <c r="A36" i="40"/>
  <c r="A30" i="40"/>
  <c r="C20" i="40"/>
  <c r="C19" i="40"/>
  <c r="C18" i="40"/>
  <c r="E13" i="40"/>
  <c r="C13" i="40"/>
  <c r="B6" i="40"/>
  <c r="A6" i="40"/>
  <c r="K40" i="19"/>
  <c r="C35" i="19"/>
  <c r="C34" i="19"/>
  <c r="C33" i="19"/>
  <c r="C31" i="19"/>
  <c r="C30" i="19"/>
  <c r="K23" i="19"/>
  <c r="K20" i="19"/>
  <c r="I13" i="19"/>
  <c r="K8" i="19"/>
  <c r="K7" i="19"/>
  <c r="B9" i="19"/>
  <c r="B8" i="19"/>
  <c r="G49" i="19"/>
  <c r="A38" i="19"/>
  <c r="A36" i="19"/>
  <c r="A30" i="19"/>
  <c r="C20" i="19"/>
  <c r="C19" i="19"/>
  <c r="C18" i="19"/>
  <c r="E13" i="19"/>
  <c r="C13" i="19"/>
  <c r="B6" i="19"/>
  <c r="A6" i="19"/>
  <c r="K40" i="57"/>
  <c r="C35" i="57"/>
  <c r="C34" i="57"/>
  <c r="C33" i="57"/>
  <c r="C39" i="57" s="1"/>
  <c r="C31" i="57"/>
  <c r="C30" i="57"/>
  <c r="K23" i="57"/>
  <c r="K20" i="57"/>
  <c r="I13" i="57"/>
  <c r="K8" i="57"/>
  <c r="K7" i="57"/>
  <c r="B9" i="57"/>
  <c r="B8" i="57"/>
  <c r="G49" i="57"/>
  <c r="A38" i="57"/>
  <c r="A36" i="57"/>
  <c r="A30" i="57"/>
  <c r="C20" i="57"/>
  <c r="C19" i="57"/>
  <c r="C18" i="57"/>
  <c r="E13" i="57"/>
  <c r="C13" i="57"/>
  <c r="B6" i="57"/>
  <c r="A6" i="57"/>
  <c r="K40" i="56"/>
  <c r="C35" i="56"/>
  <c r="C34" i="56"/>
  <c r="C33" i="56"/>
  <c r="C31" i="56"/>
  <c r="C30" i="56"/>
  <c r="K23" i="56"/>
  <c r="K20" i="56"/>
  <c r="I13" i="56"/>
  <c r="K8" i="56"/>
  <c r="K7" i="56"/>
  <c r="B9" i="56"/>
  <c r="B8" i="56"/>
  <c r="G49" i="56"/>
  <c r="A38" i="56"/>
  <c r="A36" i="56"/>
  <c r="A30" i="56"/>
  <c r="C20" i="56"/>
  <c r="C19" i="56"/>
  <c r="C18" i="56"/>
  <c r="E13" i="56"/>
  <c r="C13" i="56"/>
  <c r="B6" i="56"/>
  <c r="A6" i="56"/>
  <c r="K40" i="28"/>
  <c r="C35" i="28"/>
  <c r="C34" i="28"/>
  <c r="C33" i="28"/>
  <c r="C32" i="28"/>
  <c r="C31" i="28"/>
  <c r="C30" i="28"/>
  <c r="C39" i="28" s="1"/>
  <c r="K23" i="28"/>
  <c r="K20" i="28"/>
  <c r="I13" i="28"/>
  <c r="K8" i="28"/>
  <c r="K7" i="28"/>
  <c r="B9" i="28"/>
  <c r="B8" i="28"/>
  <c r="G49" i="28"/>
  <c r="A38" i="28"/>
  <c r="A36" i="28"/>
  <c r="A30" i="28"/>
  <c r="C20" i="28"/>
  <c r="C19" i="28"/>
  <c r="C18" i="28"/>
  <c r="E13" i="28"/>
  <c r="C13" i="28"/>
  <c r="B6" i="28"/>
  <c r="A6" i="28"/>
  <c r="K40" i="17"/>
  <c r="C35" i="17"/>
  <c r="C34" i="17"/>
  <c r="C33" i="17"/>
  <c r="C32" i="17"/>
  <c r="C31" i="17"/>
  <c r="C30" i="17"/>
  <c r="K23" i="17"/>
  <c r="K20" i="17"/>
  <c r="I13" i="16"/>
  <c r="I13" i="17"/>
  <c r="K8" i="16"/>
  <c r="K7" i="17"/>
  <c r="B9" i="17"/>
  <c r="B8" i="17"/>
  <c r="G49" i="17"/>
  <c r="A38" i="17"/>
  <c r="A36" i="17"/>
  <c r="A30" i="17"/>
  <c r="C20" i="17"/>
  <c r="C19" i="17"/>
  <c r="C18" i="17"/>
  <c r="E13" i="17"/>
  <c r="C13" i="17"/>
  <c r="K8" i="17"/>
  <c r="B6" i="17"/>
  <c r="A6" i="17"/>
  <c r="K40" i="16"/>
  <c r="C35" i="16"/>
  <c r="C34" i="16"/>
  <c r="C33" i="16"/>
  <c r="C32" i="16"/>
  <c r="C31" i="16"/>
  <c r="C30" i="16"/>
  <c r="K23" i="16"/>
  <c r="K20" i="16"/>
  <c r="K7" i="16"/>
  <c r="B9" i="16"/>
  <c r="B8" i="16"/>
  <c r="G49" i="16"/>
  <c r="A38" i="16"/>
  <c r="A36" i="16"/>
  <c r="A30" i="16"/>
  <c r="C20" i="16"/>
  <c r="C19" i="16"/>
  <c r="C18" i="16"/>
  <c r="E13" i="16"/>
  <c r="C13" i="16"/>
  <c r="B6" i="16"/>
  <c r="A6" i="16"/>
  <c r="K40" i="55"/>
  <c r="C35" i="55"/>
  <c r="C34" i="55"/>
  <c r="C33" i="55"/>
  <c r="C32" i="55"/>
  <c r="C31" i="55"/>
  <c r="C30" i="55"/>
  <c r="K23" i="55"/>
  <c r="I13" i="55"/>
  <c r="K8" i="55"/>
  <c r="K7" i="55"/>
  <c r="B9" i="55"/>
  <c r="B8" i="55"/>
  <c r="G49" i="55"/>
  <c r="A38" i="55"/>
  <c r="A36" i="55"/>
  <c r="A30" i="55"/>
  <c r="C20" i="55"/>
  <c r="C19" i="55"/>
  <c r="C18" i="55"/>
  <c r="E13" i="55"/>
  <c r="C13" i="55"/>
  <c r="B6" i="55"/>
  <c r="A6" i="55"/>
  <c r="K40" i="41"/>
  <c r="C35" i="41"/>
  <c r="C34" i="41"/>
  <c r="C33" i="41"/>
  <c r="C31" i="41"/>
  <c r="C30" i="41"/>
  <c r="K23" i="41"/>
  <c r="I13" i="41"/>
  <c r="K8" i="41"/>
  <c r="K7" i="41"/>
  <c r="B9" i="41"/>
  <c r="B8" i="41"/>
  <c r="G49" i="41"/>
  <c r="A38" i="41"/>
  <c r="A36" i="41"/>
  <c r="A30" i="41"/>
  <c r="C20" i="41"/>
  <c r="C19" i="41"/>
  <c r="C18" i="41"/>
  <c r="E13" i="41"/>
  <c r="C13" i="41"/>
  <c r="B6" i="41"/>
  <c r="A6" i="41"/>
  <c r="K40" i="10"/>
  <c r="C35" i="10"/>
  <c r="C34" i="10"/>
  <c r="C33" i="10"/>
  <c r="C31" i="10"/>
  <c r="C30" i="10"/>
  <c r="K23" i="10"/>
  <c r="I13" i="10"/>
  <c r="K8" i="10"/>
  <c r="K7" i="10"/>
  <c r="B9" i="10"/>
  <c r="B8" i="10"/>
  <c r="G49" i="10"/>
  <c r="A38" i="10"/>
  <c r="A36" i="10"/>
  <c r="A30" i="10"/>
  <c r="C20" i="10"/>
  <c r="C19" i="10"/>
  <c r="C18" i="10"/>
  <c r="E13" i="10"/>
  <c r="C13" i="10"/>
  <c r="B6" i="10"/>
  <c r="A6" i="10"/>
  <c r="K40" i="9"/>
  <c r="C35" i="9"/>
  <c r="C34" i="9"/>
  <c r="C33" i="9"/>
  <c r="C31" i="9"/>
  <c r="C30" i="9"/>
  <c r="K23" i="9"/>
  <c r="I13" i="9"/>
  <c r="K8" i="9"/>
  <c r="K7" i="9"/>
  <c r="B9" i="9"/>
  <c r="B8" i="9"/>
  <c r="G49" i="9"/>
  <c r="A38" i="9"/>
  <c r="A36" i="9"/>
  <c r="A30" i="9"/>
  <c r="C20" i="9"/>
  <c r="C19" i="9"/>
  <c r="C18" i="9"/>
  <c r="E13" i="9"/>
  <c r="C13" i="9"/>
  <c r="B6" i="9"/>
  <c r="A6" i="9"/>
  <c r="K40" i="8"/>
  <c r="C35" i="8"/>
  <c r="C34" i="8"/>
  <c r="C33" i="8"/>
  <c r="C32" i="8"/>
  <c r="C31" i="8"/>
  <c r="C30" i="8"/>
  <c r="K23" i="8"/>
  <c r="I13" i="8"/>
  <c r="K8" i="8"/>
  <c r="K7" i="8"/>
  <c r="B9" i="8"/>
  <c r="B8" i="8"/>
  <c r="G49" i="8"/>
  <c r="A38" i="8"/>
  <c r="A36" i="8"/>
  <c r="A30" i="8"/>
  <c r="C20" i="8"/>
  <c r="C19" i="8"/>
  <c r="C18" i="8"/>
  <c r="E13" i="8"/>
  <c r="C13" i="8"/>
  <c r="B6" i="8"/>
  <c r="A6" i="8"/>
  <c r="K40" i="7"/>
  <c r="C35" i="7"/>
  <c r="C34" i="7"/>
  <c r="C33" i="7"/>
  <c r="C32" i="7"/>
  <c r="C31" i="7"/>
  <c r="C30" i="7"/>
  <c r="K23" i="7"/>
  <c r="K20" i="7"/>
  <c r="I13" i="7"/>
  <c r="K8" i="7"/>
  <c r="K7" i="7"/>
  <c r="B9" i="7"/>
  <c r="B8" i="7"/>
  <c r="G49" i="7"/>
  <c r="A38" i="7"/>
  <c r="A36" i="7"/>
  <c r="A30" i="7"/>
  <c r="C20" i="7"/>
  <c r="C19" i="7"/>
  <c r="C18" i="7"/>
  <c r="E13" i="7"/>
  <c r="C13" i="7"/>
  <c r="B6" i="7"/>
  <c r="A6" i="7"/>
  <c r="K40" i="6"/>
  <c r="C35" i="6"/>
  <c r="C34" i="6"/>
  <c r="C33" i="6"/>
  <c r="C32" i="6"/>
  <c r="C31" i="6"/>
  <c r="C30" i="6"/>
  <c r="C39" i="6" s="1"/>
  <c r="K23" i="6"/>
  <c r="K20" i="6"/>
  <c r="I13" i="6"/>
  <c r="K8" i="6"/>
  <c r="K7" i="6"/>
  <c r="B9" i="6"/>
  <c r="B8" i="6"/>
  <c r="G49" i="6"/>
  <c r="A38" i="6"/>
  <c r="A36" i="6"/>
  <c r="A30" i="6"/>
  <c r="C20" i="6"/>
  <c r="C19" i="6"/>
  <c r="C18" i="6"/>
  <c r="E13" i="6"/>
  <c r="C13" i="6"/>
  <c r="B6" i="6"/>
  <c r="A6" i="6"/>
  <c r="K40" i="5"/>
  <c r="C35" i="5"/>
  <c r="C34" i="5"/>
  <c r="C33" i="5"/>
  <c r="C31" i="5"/>
  <c r="C30" i="5"/>
  <c r="K23" i="5"/>
  <c r="K20" i="5"/>
  <c r="I13" i="5"/>
  <c r="K8" i="5"/>
  <c r="K7" i="5"/>
  <c r="B9" i="5"/>
  <c r="B8" i="5"/>
  <c r="G49" i="5"/>
  <c r="A38" i="5"/>
  <c r="A36" i="5"/>
  <c r="A30" i="5"/>
  <c r="C20" i="5"/>
  <c r="C19" i="5"/>
  <c r="C18" i="5"/>
  <c r="E13" i="5"/>
  <c r="C13" i="5"/>
  <c r="B6" i="5"/>
  <c r="A6" i="5"/>
  <c r="AC8" i="1"/>
  <c r="K25" i="4" s="1"/>
  <c r="AC9" i="1"/>
  <c r="K25" i="5" s="1"/>
  <c r="K23" i="4"/>
  <c r="K40" i="4"/>
  <c r="G24" i="1"/>
  <c r="K13" i="24"/>
  <c r="I24" i="1"/>
  <c r="J24" i="1"/>
  <c r="K24" i="1"/>
  <c r="K19" i="24" s="1"/>
  <c r="N24" i="1"/>
  <c r="R24" i="1" s="1"/>
  <c r="K15" i="24"/>
  <c r="O24" i="1"/>
  <c r="K16" i="24"/>
  <c r="P24" i="1"/>
  <c r="K20" i="24" s="1"/>
  <c r="I26" i="25"/>
  <c r="AC24" i="1"/>
  <c r="K25" i="24"/>
  <c r="AB36" i="1"/>
  <c r="C32" i="51"/>
  <c r="C32" i="49"/>
  <c r="C32" i="43"/>
  <c r="I28" i="25"/>
  <c r="C32" i="40"/>
  <c r="I24" i="25"/>
  <c r="C32" i="57"/>
  <c r="C32" i="56"/>
  <c r="I20" i="25"/>
  <c r="C32" i="10"/>
  <c r="C32" i="9"/>
  <c r="I13" i="25"/>
  <c r="I12" i="25"/>
  <c r="C32" i="5"/>
  <c r="L86" i="1"/>
  <c r="F35" i="25"/>
  <c r="W35" i="25" s="1"/>
  <c r="U35" i="25"/>
  <c r="U36" i="25"/>
  <c r="F34" i="25"/>
  <c r="W34" i="25" s="1"/>
  <c r="N31" i="1"/>
  <c r="K15" i="51" s="1"/>
  <c r="N30" i="1"/>
  <c r="K15" i="49" s="1"/>
  <c r="N29" i="1"/>
  <c r="K15" i="43" s="1"/>
  <c r="R29" i="1"/>
  <c r="N28" i="1"/>
  <c r="K15" i="38" s="1"/>
  <c r="R28" i="1"/>
  <c r="Z28" i="1" s="1"/>
  <c r="N30" i="25" s="1"/>
  <c r="N27" i="1"/>
  <c r="R27" i="1" s="1"/>
  <c r="N26" i="1"/>
  <c r="K15" i="34" s="1"/>
  <c r="R26" i="1"/>
  <c r="Z26" i="1" s="1"/>
  <c r="N28" i="25" s="1"/>
  <c r="N25" i="1"/>
  <c r="N23" i="1"/>
  <c r="K15" i="40"/>
  <c r="N22" i="1"/>
  <c r="K15" i="19"/>
  <c r="N21" i="1"/>
  <c r="K15" i="57"/>
  <c r="N20" i="1"/>
  <c r="N19" i="1"/>
  <c r="R19" i="1"/>
  <c r="K15" i="28"/>
  <c r="N18" i="1"/>
  <c r="K15" i="17"/>
  <c r="N17" i="1"/>
  <c r="N16" i="1"/>
  <c r="K15" i="55"/>
  <c r="N15" i="1"/>
  <c r="K15" i="41" s="1"/>
  <c r="K21" i="41" s="1"/>
  <c r="K27" i="41" s="1"/>
  <c r="N14" i="1"/>
  <c r="R14" i="1"/>
  <c r="K15" i="10"/>
  <c r="N13" i="1"/>
  <c r="N12" i="1"/>
  <c r="K15" i="8" s="1"/>
  <c r="R12" i="1"/>
  <c r="C36" i="8"/>
  <c r="N11" i="1"/>
  <c r="N10" i="1"/>
  <c r="I22" i="1"/>
  <c r="K14" i="19" s="1"/>
  <c r="G22" i="1"/>
  <c r="K13" i="19"/>
  <c r="G20" i="1"/>
  <c r="M71" i="1"/>
  <c r="L20" i="1"/>
  <c r="K17" i="56" s="1"/>
  <c r="I20" i="1"/>
  <c r="K14" i="56"/>
  <c r="O20" i="1"/>
  <c r="K16" i="56"/>
  <c r="J20" i="1"/>
  <c r="K18" i="56" s="1"/>
  <c r="K20" i="1"/>
  <c r="K19" i="56"/>
  <c r="AC20" i="1"/>
  <c r="K25" i="56"/>
  <c r="G21" i="1"/>
  <c r="M72" i="1"/>
  <c r="L21" i="1"/>
  <c r="K17" i="57" s="1"/>
  <c r="O72" i="1"/>
  <c r="I21" i="1"/>
  <c r="K14" i="57"/>
  <c r="O21" i="1"/>
  <c r="K16" i="57" s="1"/>
  <c r="J21" i="1"/>
  <c r="K18" i="57"/>
  <c r="K21" i="1"/>
  <c r="K19" i="57"/>
  <c r="AC21" i="1"/>
  <c r="P23" i="25"/>
  <c r="M23" i="25"/>
  <c r="L23" i="25"/>
  <c r="K23" i="25"/>
  <c r="J23" i="25"/>
  <c r="H23" i="25"/>
  <c r="G23" i="25"/>
  <c r="D23" i="25"/>
  <c r="C23" i="25"/>
  <c r="P22" i="25"/>
  <c r="M22" i="25"/>
  <c r="L22" i="25"/>
  <c r="K22" i="25"/>
  <c r="J22" i="25"/>
  <c r="H22" i="25"/>
  <c r="G22" i="25"/>
  <c r="D22" i="25"/>
  <c r="C22" i="25"/>
  <c r="D72" i="1"/>
  <c r="B72" i="1"/>
  <c r="O71" i="1"/>
  <c r="D71" i="1"/>
  <c r="B71" i="1"/>
  <c r="N9" i="1"/>
  <c r="R9" i="1"/>
  <c r="K15" i="5"/>
  <c r="AC22" i="1"/>
  <c r="K25" i="19"/>
  <c r="G19" i="1"/>
  <c r="K13" i="28"/>
  <c r="I19" i="1"/>
  <c r="Q19" i="1" s="1"/>
  <c r="K14" i="28"/>
  <c r="J19" i="1"/>
  <c r="K19" i="1"/>
  <c r="K19" i="28"/>
  <c r="M70" i="1"/>
  <c r="O19" i="1"/>
  <c r="K16" i="28"/>
  <c r="AC19" i="1"/>
  <c r="K25" i="28"/>
  <c r="A9" i="1"/>
  <c r="A10" i="1"/>
  <c r="A11" i="1"/>
  <c r="A12" i="1"/>
  <c r="A13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5" i="1"/>
  <c r="A26" i="1"/>
  <c r="A27" i="1"/>
  <c r="A28" i="1"/>
  <c r="A29" i="1"/>
  <c r="A30" i="1"/>
  <c r="A31" i="1" s="1"/>
  <c r="G18" i="1"/>
  <c r="K13" i="17" s="1"/>
  <c r="I18" i="1"/>
  <c r="K14" i="17"/>
  <c r="J18" i="1"/>
  <c r="K18" i="17" s="1"/>
  <c r="K18" i="1"/>
  <c r="K19" i="17" s="1"/>
  <c r="M69" i="1"/>
  <c r="O69" i="1" s="1"/>
  <c r="L18" i="1"/>
  <c r="K17" i="17"/>
  <c r="O18" i="1"/>
  <c r="K16" i="17"/>
  <c r="AC18" i="1"/>
  <c r="AC31" i="1"/>
  <c r="AC30" i="1"/>
  <c r="K25" i="49" s="1"/>
  <c r="AC29" i="1"/>
  <c r="K25" i="43"/>
  <c r="AC28" i="1"/>
  <c r="AC27" i="1"/>
  <c r="K25" i="36"/>
  <c r="AC26" i="1"/>
  <c r="K25" i="34" s="1"/>
  <c r="AC25" i="1"/>
  <c r="AC23" i="1"/>
  <c r="K25" i="40" s="1"/>
  <c r="AC17" i="1"/>
  <c r="K25" i="16"/>
  <c r="AC16" i="1"/>
  <c r="AC15" i="1"/>
  <c r="AC14" i="1"/>
  <c r="K25" i="10"/>
  <c r="AC13" i="1"/>
  <c r="K25" i="9"/>
  <c r="AC12" i="1"/>
  <c r="K25" i="8"/>
  <c r="AC11" i="1"/>
  <c r="K25" i="7"/>
  <c r="AC10" i="1"/>
  <c r="K25" i="6"/>
  <c r="P12" i="1"/>
  <c r="G8" i="1"/>
  <c r="G28" i="1"/>
  <c r="I28" i="1"/>
  <c r="K14" i="38" s="1"/>
  <c r="J28" i="1"/>
  <c r="K18" i="38" s="1"/>
  <c r="K28" i="1"/>
  <c r="K19" i="38"/>
  <c r="M79" i="1"/>
  <c r="L28" i="1"/>
  <c r="K17" i="38"/>
  <c r="O28" i="1"/>
  <c r="K16" i="38"/>
  <c r="P28" i="1"/>
  <c r="K20" i="38"/>
  <c r="G16" i="1"/>
  <c r="Q16" i="1" s="1"/>
  <c r="K13" i="55"/>
  <c r="K21" i="55" s="1"/>
  <c r="K27" i="55" s="1"/>
  <c r="I16" i="1"/>
  <c r="K14" i="55"/>
  <c r="J16" i="1"/>
  <c r="K16" i="1"/>
  <c r="K19" i="55"/>
  <c r="M67" i="1"/>
  <c r="L16" i="1"/>
  <c r="K17" i="55" s="1"/>
  <c r="O16" i="1"/>
  <c r="K16" i="55"/>
  <c r="P16" i="1"/>
  <c r="K20" i="55" s="1"/>
  <c r="G17" i="1"/>
  <c r="K13" i="16"/>
  <c r="I17" i="1"/>
  <c r="K14" i="16"/>
  <c r="J17" i="1"/>
  <c r="K18" i="16"/>
  <c r="K17" i="1"/>
  <c r="K19" i="16" s="1"/>
  <c r="M68" i="1"/>
  <c r="L17" i="1"/>
  <c r="K17" i="16"/>
  <c r="O17" i="1"/>
  <c r="K16" i="16"/>
  <c r="D68" i="1"/>
  <c r="B68" i="1"/>
  <c r="A60" i="1"/>
  <c r="A61" i="1" s="1"/>
  <c r="A62" i="1" s="1"/>
  <c r="A63" i="1" s="1"/>
  <c r="A64" i="1"/>
  <c r="A65" i="1" s="1"/>
  <c r="A66" i="1" s="1"/>
  <c r="A67" i="1" s="1"/>
  <c r="A68" i="1" s="1"/>
  <c r="A69" i="1" s="1"/>
  <c r="A70" i="1" s="1"/>
  <c r="A71" i="1" s="1"/>
  <c r="A72" i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B60" i="1"/>
  <c r="D60" i="1"/>
  <c r="M60" i="1"/>
  <c r="O60" i="1"/>
  <c r="B61" i="1"/>
  <c r="D61" i="1"/>
  <c r="M61" i="1"/>
  <c r="L10" i="1"/>
  <c r="K17" i="6"/>
  <c r="B62" i="1"/>
  <c r="D62" i="1"/>
  <c r="M62" i="1"/>
  <c r="O62" i="1" s="1"/>
  <c r="L11" i="1"/>
  <c r="K17" i="7" s="1"/>
  <c r="B63" i="1"/>
  <c r="D63" i="1"/>
  <c r="M63" i="1"/>
  <c r="B64" i="1"/>
  <c r="D64" i="1"/>
  <c r="M64" i="1"/>
  <c r="L13" i="1"/>
  <c r="K17" i="9"/>
  <c r="B65" i="1"/>
  <c r="D65" i="1"/>
  <c r="M65" i="1"/>
  <c r="O65" i="1"/>
  <c r="B66" i="1"/>
  <c r="D66" i="1"/>
  <c r="M66" i="1"/>
  <c r="O66" i="1"/>
  <c r="B67" i="1"/>
  <c r="D67" i="1"/>
  <c r="O67" i="1"/>
  <c r="B69" i="1"/>
  <c r="D69" i="1"/>
  <c r="B70" i="1"/>
  <c r="D70" i="1"/>
  <c r="B73" i="1"/>
  <c r="D73" i="1"/>
  <c r="M73" i="1"/>
  <c r="O73" i="1"/>
  <c r="B74" i="1"/>
  <c r="D74" i="1"/>
  <c r="M74" i="1"/>
  <c r="O74" i="1" s="1"/>
  <c r="B75" i="1"/>
  <c r="D75" i="1"/>
  <c r="M75" i="1"/>
  <c r="B76" i="1"/>
  <c r="D76" i="1"/>
  <c r="M76" i="1"/>
  <c r="B77" i="1"/>
  <c r="D77" i="1"/>
  <c r="M77" i="1"/>
  <c r="L26" i="1"/>
  <c r="K17" i="34" s="1"/>
  <c r="O77" i="1"/>
  <c r="B78" i="1"/>
  <c r="D78" i="1"/>
  <c r="M78" i="1"/>
  <c r="L27" i="1"/>
  <c r="K17" i="36"/>
  <c r="O78" i="1"/>
  <c r="B79" i="1"/>
  <c r="D79" i="1"/>
  <c r="O79" i="1"/>
  <c r="B80" i="1"/>
  <c r="D80" i="1"/>
  <c r="M80" i="1"/>
  <c r="B81" i="1"/>
  <c r="D81" i="1"/>
  <c r="M81" i="1"/>
  <c r="O81" i="1" s="1"/>
  <c r="B82" i="1"/>
  <c r="D82" i="1"/>
  <c r="M82" i="1"/>
  <c r="O82" i="1" s="1"/>
  <c r="B83" i="1"/>
  <c r="D83" i="1"/>
  <c r="M83" i="1"/>
  <c r="O83" i="1"/>
  <c r="B84" i="1"/>
  <c r="D84" i="1"/>
  <c r="M84" i="1"/>
  <c r="O84" i="1"/>
  <c r="B85" i="1"/>
  <c r="D85" i="1"/>
  <c r="M85" i="1"/>
  <c r="O85" i="1"/>
  <c r="L5" i="1"/>
  <c r="D18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1" i="25"/>
  <c r="D20" i="25"/>
  <c r="D19" i="25"/>
  <c r="D17" i="25"/>
  <c r="D16" i="25"/>
  <c r="D15" i="25"/>
  <c r="D14" i="25"/>
  <c r="D13" i="25"/>
  <c r="D12" i="25"/>
  <c r="D11" i="25"/>
  <c r="D10" i="25"/>
  <c r="G15" i="1"/>
  <c r="I15" i="1"/>
  <c r="K14" i="41"/>
  <c r="J15" i="1"/>
  <c r="K18" i="41" s="1"/>
  <c r="K15" i="1"/>
  <c r="K19" i="41"/>
  <c r="O15" i="1"/>
  <c r="K16" i="41" s="1"/>
  <c r="P15" i="1"/>
  <c r="K20" i="41"/>
  <c r="G31" i="1"/>
  <c r="K13" i="51"/>
  <c r="I31" i="1"/>
  <c r="K14" i="51"/>
  <c r="J31" i="1"/>
  <c r="K18" i="51"/>
  <c r="K31" i="1"/>
  <c r="K19" i="51"/>
  <c r="O31" i="1"/>
  <c r="K16" i="51"/>
  <c r="P31" i="1"/>
  <c r="K20" i="51"/>
  <c r="E35" i="25"/>
  <c r="O35" i="25" s="1"/>
  <c r="R35" i="25" s="1"/>
  <c r="N35" i="25"/>
  <c r="P35" i="25"/>
  <c r="M35" i="25"/>
  <c r="L35" i="25"/>
  <c r="K35" i="25"/>
  <c r="J35" i="25"/>
  <c r="I35" i="25"/>
  <c r="H35" i="25"/>
  <c r="G35" i="25"/>
  <c r="C35" i="25"/>
  <c r="E34" i="25"/>
  <c r="O34" i="25"/>
  <c r="R34" i="25"/>
  <c r="N34" i="25"/>
  <c r="P34" i="25"/>
  <c r="M34" i="25"/>
  <c r="L34" i="25"/>
  <c r="K34" i="25"/>
  <c r="J34" i="25"/>
  <c r="I34" i="25"/>
  <c r="H34" i="25"/>
  <c r="G34" i="25"/>
  <c r="C34" i="25"/>
  <c r="P33" i="25"/>
  <c r="M33" i="25"/>
  <c r="L33" i="25"/>
  <c r="K33" i="25"/>
  <c r="J33" i="25"/>
  <c r="I33" i="25"/>
  <c r="H33" i="25"/>
  <c r="G33" i="25"/>
  <c r="C33" i="25"/>
  <c r="G30" i="1"/>
  <c r="I30" i="1"/>
  <c r="K14" i="49" s="1"/>
  <c r="J30" i="1"/>
  <c r="K18" i="49" s="1"/>
  <c r="K30" i="1"/>
  <c r="K19" i="49"/>
  <c r="O30" i="1"/>
  <c r="K16" i="49" s="1"/>
  <c r="P30" i="1"/>
  <c r="K20" i="49"/>
  <c r="P32" i="25"/>
  <c r="M32" i="25"/>
  <c r="L32" i="25"/>
  <c r="K32" i="25"/>
  <c r="J32" i="25"/>
  <c r="I32" i="25"/>
  <c r="H32" i="25"/>
  <c r="G32" i="25"/>
  <c r="C32" i="25"/>
  <c r="H86" i="1"/>
  <c r="G86" i="1"/>
  <c r="K86" i="1"/>
  <c r="I86" i="1"/>
  <c r="J86" i="1"/>
  <c r="F86" i="1"/>
  <c r="P31" i="25"/>
  <c r="M31" i="25"/>
  <c r="L31" i="25"/>
  <c r="K31" i="25"/>
  <c r="J31" i="25"/>
  <c r="H31" i="25"/>
  <c r="G31" i="25"/>
  <c r="G29" i="1"/>
  <c r="I29" i="1"/>
  <c r="K14" i="43"/>
  <c r="J29" i="1"/>
  <c r="K29" i="1"/>
  <c r="K19" i="43"/>
  <c r="O29" i="1"/>
  <c r="K16" i="43" s="1"/>
  <c r="C31" i="25"/>
  <c r="P30" i="25"/>
  <c r="M30" i="25"/>
  <c r="L30" i="25"/>
  <c r="K30" i="25"/>
  <c r="J30" i="25"/>
  <c r="I30" i="25"/>
  <c r="H30" i="25"/>
  <c r="G30" i="25"/>
  <c r="C30" i="25"/>
  <c r="P29" i="25"/>
  <c r="M29" i="25"/>
  <c r="L29" i="25"/>
  <c r="K29" i="25"/>
  <c r="J29" i="25"/>
  <c r="I29" i="25"/>
  <c r="H29" i="25"/>
  <c r="G29" i="25"/>
  <c r="G27" i="1"/>
  <c r="I27" i="1"/>
  <c r="K14" i="36" s="1"/>
  <c r="J27" i="1"/>
  <c r="K18" i="36"/>
  <c r="K27" i="1"/>
  <c r="K19" i="36" s="1"/>
  <c r="O27" i="1"/>
  <c r="K16" i="36"/>
  <c r="C29" i="25"/>
  <c r="P28" i="25"/>
  <c r="M28" i="25"/>
  <c r="L28" i="25"/>
  <c r="K28" i="25"/>
  <c r="J28" i="25"/>
  <c r="H28" i="25"/>
  <c r="G28" i="25"/>
  <c r="G26" i="1"/>
  <c r="I26" i="1"/>
  <c r="K14" i="34"/>
  <c r="J26" i="1"/>
  <c r="K18" i="34" s="1"/>
  <c r="K26" i="1"/>
  <c r="K19" i="34" s="1"/>
  <c r="O26" i="1"/>
  <c r="K16" i="34"/>
  <c r="P26" i="1"/>
  <c r="K20" i="34" s="1"/>
  <c r="C28" i="25"/>
  <c r="P27" i="25"/>
  <c r="M27" i="25"/>
  <c r="L27" i="25"/>
  <c r="K27" i="25"/>
  <c r="J27" i="25"/>
  <c r="I27" i="25"/>
  <c r="H27" i="25"/>
  <c r="G27" i="25"/>
  <c r="C27" i="25"/>
  <c r="P26" i="25"/>
  <c r="M26" i="25"/>
  <c r="L26" i="25"/>
  <c r="K26" i="25"/>
  <c r="J26" i="25"/>
  <c r="H26" i="25"/>
  <c r="G26" i="25"/>
  <c r="C26" i="25"/>
  <c r="P25" i="25"/>
  <c r="M25" i="25"/>
  <c r="L25" i="25"/>
  <c r="K25" i="25"/>
  <c r="J25" i="25"/>
  <c r="H25" i="25"/>
  <c r="G25" i="25"/>
  <c r="G23" i="1"/>
  <c r="K13" i="40"/>
  <c r="I23" i="1"/>
  <c r="J23" i="1"/>
  <c r="K18" i="40"/>
  <c r="K23" i="1"/>
  <c r="K19" i="40"/>
  <c r="O23" i="1"/>
  <c r="K16" i="40" s="1"/>
  <c r="P23" i="1"/>
  <c r="K20" i="40" s="1"/>
  <c r="C25" i="25"/>
  <c r="P24" i="25"/>
  <c r="M24" i="25"/>
  <c r="L24" i="25"/>
  <c r="K24" i="25"/>
  <c r="J24" i="25"/>
  <c r="H24" i="25"/>
  <c r="G24" i="25"/>
  <c r="J22" i="1"/>
  <c r="K18" i="19"/>
  <c r="K22" i="1"/>
  <c r="K19" i="19"/>
  <c r="O22" i="1"/>
  <c r="K16" i="19" s="1"/>
  <c r="K21" i="19" s="1"/>
  <c r="K27" i="19" s="1"/>
  <c r="C24" i="25"/>
  <c r="P21" i="25"/>
  <c r="M21" i="25"/>
  <c r="L21" i="25"/>
  <c r="K21" i="25"/>
  <c r="J21" i="25"/>
  <c r="I21" i="25"/>
  <c r="H21" i="25"/>
  <c r="G21" i="25"/>
  <c r="C21" i="25"/>
  <c r="P20" i="25"/>
  <c r="M20" i="25"/>
  <c r="L20" i="25"/>
  <c r="K20" i="25"/>
  <c r="J20" i="25"/>
  <c r="H20" i="25"/>
  <c r="G20" i="25"/>
  <c r="C20" i="25"/>
  <c r="P19" i="25"/>
  <c r="P36" i="25" s="1"/>
  <c r="M19" i="25"/>
  <c r="L19" i="25"/>
  <c r="K19" i="25"/>
  <c r="J19" i="25"/>
  <c r="H19" i="25"/>
  <c r="G19" i="25"/>
  <c r="C19" i="25"/>
  <c r="P18" i="25"/>
  <c r="M18" i="25"/>
  <c r="L18" i="25"/>
  <c r="L36" i="25" s="1"/>
  <c r="K18" i="25"/>
  <c r="J18" i="25"/>
  <c r="I18" i="25"/>
  <c r="H18" i="25"/>
  <c r="G18" i="25"/>
  <c r="C18" i="25"/>
  <c r="K8" i="4"/>
  <c r="M59" i="1"/>
  <c r="O59" i="1" s="1"/>
  <c r="P13" i="1"/>
  <c r="K20" i="9"/>
  <c r="P14" i="1"/>
  <c r="K20" i="10"/>
  <c r="P25" i="1"/>
  <c r="K20" i="35"/>
  <c r="I8" i="1"/>
  <c r="J8" i="1"/>
  <c r="K19" i="4"/>
  <c r="O8" i="1"/>
  <c r="K16" i="4"/>
  <c r="G9" i="1"/>
  <c r="I9" i="1"/>
  <c r="J9" i="1"/>
  <c r="K9" i="1"/>
  <c r="K19" i="5"/>
  <c r="O9" i="1"/>
  <c r="K16" i="5"/>
  <c r="G10" i="1"/>
  <c r="Q10" i="1" s="1"/>
  <c r="K13" i="6"/>
  <c r="I10" i="1"/>
  <c r="K14" i="6" s="1"/>
  <c r="J10" i="1"/>
  <c r="K18" i="6" s="1"/>
  <c r="K21" i="6" s="1"/>
  <c r="K27" i="6" s="1"/>
  <c r="K10" i="1"/>
  <c r="K19" i="6"/>
  <c r="O10" i="1"/>
  <c r="K16" i="6"/>
  <c r="G11" i="1"/>
  <c r="I11" i="1"/>
  <c r="K14" i="7"/>
  <c r="J11" i="1"/>
  <c r="K18" i="7" s="1"/>
  <c r="K11" i="1"/>
  <c r="K19" i="7"/>
  <c r="O11" i="1"/>
  <c r="G12" i="1"/>
  <c r="K13" i="8"/>
  <c r="I12" i="1"/>
  <c r="K14" i="8"/>
  <c r="J12" i="1"/>
  <c r="K18" i="8"/>
  <c r="K12" i="1"/>
  <c r="K19" i="8" s="1"/>
  <c r="O12" i="1"/>
  <c r="K16" i="8" s="1"/>
  <c r="G13" i="1"/>
  <c r="I13" i="1"/>
  <c r="K14" i="9"/>
  <c r="J13" i="1"/>
  <c r="K18" i="9"/>
  <c r="K13" i="1"/>
  <c r="K19" i="9"/>
  <c r="O13" i="1"/>
  <c r="K16" i="9"/>
  <c r="G14" i="1"/>
  <c r="K13" i="10" s="1"/>
  <c r="K21" i="10" s="1"/>
  <c r="K27" i="10" s="1"/>
  <c r="I14" i="1"/>
  <c r="J14" i="1"/>
  <c r="K18" i="10"/>
  <c r="K14" i="1"/>
  <c r="K19" i="10"/>
  <c r="L14" i="1"/>
  <c r="K17" i="10"/>
  <c r="O14" i="1"/>
  <c r="K16" i="10" s="1"/>
  <c r="G25" i="1"/>
  <c r="I25" i="1"/>
  <c r="K14" i="35" s="1"/>
  <c r="J25" i="1"/>
  <c r="K18" i="35" s="1"/>
  <c r="K25" i="1"/>
  <c r="K19" i="35"/>
  <c r="O25" i="1"/>
  <c r="K16" i="35" s="1"/>
  <c r="N57" i="1"/>
  <c r="N86" i="1"/>
  <c r="C13" i="4"/>
  <c r="U9" i="25"/>
  <c r="A38" i="4"/>
  <c r="V36" i="25"/>
  <c r="C20" i="4"/>
  <c r="K20" i="4"/>
  <c r="C18" i="4"/>
  <c r="D8" i="25"/>
  <c r="P17" i="25"/>
  <c r="P16" i="25"/>
  <c r="P15" i="25"/>
  <c r="P14" i="25"/>
  <c r="P13" i="25"/>
  <c r="P12" i="25"/>
  <c r="P11" i="25"/>
  <c r="P10" i="25"/>
  <c r="O9" i="25"/>
  <c r="N9" i="25"/>
  <c r="P9" i="25"/>
  <c r="E9" i="25"/>
  <c r="G10" i="25"/>
  <c r="G11" i="25"/>
  <c r="G12" i="25"/>
  <c r="G13" i="25"/>
  <c r="G14" i="25"/>
  <c r="G15" i="25"/>
  <c r="G16" i="25"/>
  <c r="G17" i="25"/>
  <c r="H10" i="25"/>
  <c r="H11" i="25"/>
  <c r="H12" i="25"/>
  <c r="H13" i="25"/>
  <c r="H14" i="25"/>
  <c r="H15" i="25"/>
  <c r="H16" i="25"/>
  <c r="H17" i="25"/>
  <c r="I14" i="25"/>
  <c r="J10" i="25"/>
  <c r="J11" i="25"/>
  <c r="J12" i="25"/>
  <c r="J13" i="25"/>
  <c r="J14" i="25"/>
  <c r="J15" i="25"/>
  <c r="J16" i="25"/>
  <c r="J17" i="25"/>
  <c r="K10" i="25"/>
  <c r="K11" i="25"/>
  <c r="K12" i="25"/>
  <c r="K13" i="25"/>
  <c r="K14" i="25"/>
  <c r="K15" i="25"/>
  <c r="K16" i="25"/>
  <c r="K17" i="25"/>
  <c r="L10" i="25"/>
  <c r="L11" i="25"/>
  <c r="L12" i="25"/>
  <c r="L13" i="25"/>
  <c r="L14" i="25"/>
  <c r="L15" i="25"/>
  <c r="L16" i="25"/>
  <c r="L17" i="25"/>
  <c r="M10" i="25"/>
  <c r="M11" i="25"/>
  <c r="M12" i="25"/>
  <c r="M13" i="25"/>
  <c r="M14" i="25"/>
  <c r="M15" i="25"/>
  <c r="M16" i="25"/>
  <c r="M17" i="25"/>
  <c r="L9" i="25"/>
  <c r="M9" i="25"/>
  <c r="H9" i="25"/>
  <c r="I9" i="25"/>
  <c r="J9" i="25"/>
  <c r="K9" i="25"/>
  <c r="G9" i="25"/>
  <c r="F9" i="25"/>
  <c r="A36" i="4"/>
  <c r="S7" i="25"/>
  <c r="C17" i="25"/>
  <c r="C34" i="4"/>
  <c r="B59" i="1"/>
  <c r="Y36" i="1"/>
  <c r="X36" i="1"/>
  <c r="W36" i="1"/>
  <c r="V36" i="1"/>
  <c r="T36" i="1"/>
  <c r="S36" i="1"/>
  <c r="E13" i="4"/>
  <c r="C33" i="4"/>
  <c r="G49" i="4"/>
  <c r="B9" i="4"/>
  <c r="B6" i="4"/>
  <c r="C35" i="4"/>
  <c r="C31" i="4"/>
  <c r="C30" i="4"/>
  <c r="C19" i="4"/>
  <c r="D59" i="1"/>
  <c r="K57" i="1"/>
  <c r="O5" i="1"/>
  <c r="P39" i="25"/>
  <c r="C8" i="25"/>
  <c r="C16" i="25"/>
  <c r="C15" i="25"/>
  <c r="C14" i="25"/>
  <c r="C13" i="25"/>
  <c r="C12" i="25"/>
  <c r="C11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C10" i="25"/>
  <c r="A30" i="4"/>
  <c r="A6" i="4"/>
  <c r="I13" i="4"/>
  <c r="K7" i="4"/>
  <c r="B8" i="4"/>
  <c r="N8" i="1"/>
  <c r="I11" i="25"/>
  <c r="I19" i="25"/>
  <c r="L22" i="1"/>
  <c r="K17" i="19" s="1"/>
  <c r="O70" i="1"/>
  <c r="L19" i="1"/>
  <c r="K17" i="28"/>
  <c r="I22" i="25"/>
  <c r="K25" i="57"/>
  <c r="C32" i="4"/>
  <c r="I10" i="25"/>
  <c r="I36" i="25" s="1"/>
  <c r="U36" i="1"/>
  <c r="C32" i="41"/>
  <c r="I17" i="25"/>
  <c r="L9" i="1"/>
  <c r="K17" i="5" s="1"/>
  <c r="I23" i="25"/>
  <c r="I25" i="25"/>
  <c r="I16" i="25"/>
  <c r="I31" i="25"/>
  <c r="K25" i="41"/>
  <c r="C32" i="19"/>
  <c r="K14" i="40"/>
  <c r="I15" i="25"/>
  <c r="O64" i="1"/>
  <c r="L15" i="1"/>
  <c r="K17" i="41"/>
  <c r="R15" i="1"/>
  <c r="F17" i="25" s="1"/>
  <c r="W17" i="25" s="1"/>
  <c r="E38" i="41" s="1"/>
  <c r="R21" i="1"/>
  <c r="F23" i="25"/>
  <c r="W23" i="25"/>
  <c r="E38" i="57"/>
  <c r="K13" i="57"/>
  <c r="R16" i="1"/>
  <c r="R31" i="1"/>
  <c r="F33" i="25"/>
  <c r="W33" i="25"/>
  <c r="E38" i="51"/>
  <c r="K13" i="43"/>
  <c r="R22" i="1"/>
  <c r="F24" i="25" s="1"/>
  <c r="W24" i="25" s="1"/>
  <c r="E38" i="19" s="1"/>
  <c r="C36" i="19"/>
  <c r="C39" i="19"/>
  <c r="Q18" i="1"/>
  <c r="E20" i="25"/>
  <c r="K13" i="9"/>
  <c r="K14" i="5"/>
  <c r="K13" i="4"/>
  <c r="Z16" i="1"/>
  <c r="N18" i="25" s="1"/>
  <c r="C36" i="57"/>
  <c r="Z21" i="1"/>
  <c r="N23" i="25" s="1"/>
  <c r="C36" i="34"/>
  <c r="F28" i="25"/>
  <c r="W28" i="25"/>
  <c r="E38" i="34"/>
  <c r="K18" i="24"/>
  <c r="K25" i="55"/>
  <c r="K18" i="28"/>
  <c r="K15" i="56"/>
  <c r="R20" i="1"/>
  <c r="K14" i="10"/>
  <c r="K14" i="4"/>
  <c r="O61" i="1"/>
  <c r="K15" i="6"/>
  <c r="R10" i="1"/>
  <c r="C36" i="6"/>
  <c r="K15" i="36"/>
  <c r="C36" i="36"/>
  <c r="Z19" i="1"/>
  <c r="N21" i="25"/>
  <c r="C36" i="28"/>
  <c r="F21" i="25"/>
  <c r="W21" i="25" s="1"/>
  <c r="E38" i="28" s="1"/>
  <c r="K18" i="5"/>
  <c r="K16" i="7"/>
  <c r="K21" i="57"/>
  <c r="K27" i="57"/>
  <c r="C39" i="8"/>
  <c r="L8" i="1"/>
  <c r="L12" i="1"/>
  <c r="O63" i="1"/>
  <c r="K15" i="16"/>
  <c r="R17" i="1"/>
  <c r="K18" i="55"/>
  <c r="F30" i="25"/>
  <c r="W30" i="25"/>
  <c r="E38" i="38"/>
  <c r="K13" i="41"/>
  <c r="Q15" i="1"/>
  <c r="R11" i="1"/>
  <c r="K15" i="7"/>
  <c r="F12" i="25"/>
  <c r="W12" i="25"/>
  <c r="E38" i="6"/>
  <c r="Z10" i="1"/>
  <c r="N12" i="25"/>
  <c r="K13" i="7"/>
  <c r="K18" i="4"/>
  <c r="K25" i="51"/>
  <c r="R18" i="1"/>
  <c r="R23" i="1"/>
  <c r="L30" i="1"/>
  <c r="K17" i="49"/>
  <c r="F25" i="25"/>
  <c r="W25" i="25"/>
  <c r="E38" i="40" s="1"/>
  <c r="Z17" i="1"/>
  <c r="N19" i="25"/>
  <c r="K17" i="4"/>
  <c r="Z20" i="1" l="1"/>
  <c r="N22" i="25" s="1"/>
  <c r="F22" i="25"/>
  <c r="W22" i="25" s="1"/>
  <c r="E38" i="56" s="1"/>
  <c r="C36" i="56"/>
  <c r="K14" i="24"/>
  <c r="Z14" i="1"/>
  <c r="N16" i="25" s="1"/>
  <c r="F16" i="25"/>
  <c r="W16" i="25" s="1"/>
  <c r="E38" i="10" s="1"/>
  <c r="C36" i="10"/>
  <c r="C39" i="10" s="1"/>
  <c r="M36" i="25"/>
  <c r="F11" i="25"/>
  <c r="W11" i="25" s="1"/>
  <c r="E38" i="5" s="1"/>
  <c r="Z9" i="1"/>
  <c r="N11" i="25" s="1"/>
  <c r="C36" i="5"/>
  <c r="C39" i="5" s="1"/>
  <c r="R25" i="1"/>
  <c r="K15" i="35"/>
  <c r="Q29" i="1"/>
  <c r="N36" i="1"/>
  <c r="F13" i="25"/>
  <c r="W13" i="25" s="1"/>
  <c r="E38" i="7" s="1"/>
  <c r="Z11" i="1"/>
  <c r="N13" i="25" s="1"/>
  <c r="C36" i="7"/>
  <c r="C39" i="7" s="1"/>
  <c r="AA16" i="1"/>
  <c r="E18" i="25"/>
  <c r="O18" i="25" s="1"/>
  <c r="R18" i="25" s="1"/>
  <c r="O68" i="1"/>
  <c r="M86" i="1"/>
  <c r="K21" i="9"/>
  <c r="K27" i="9" s="1"/>
  <c r="E12" i="25"/>
  <c r="O12" i="25" s="1"/>
  <c r="R12" i="25" s="1"/>
  <c r="AA10" i="1"/>
  <c r="K13" i="49"/>
  <c r="K21" i="49" s="1"/>
  <c r="K27" i="49" s="1"/>
  <c r="Q30" i="1"/>
  <c r="K17" i="8"/>
  <c r="K21" i="8" s="1"/>
  <c r="K27" i="8" s="1"/>
  <c r="Q12" i="1"/>
  <c r="Z15" i="1"/>
  <c r="N17" i="25" s="1"/>
  <c r="C36" i="41"/>
  <c r="C39" i="41" s="1"/>
  <c r="O75" i="1"/>
  <c r="L24" i="1"/>
  <c r="K17" i="24" s="1"/>
  <c r="K36" i="25"/>
  <c r="O80" i="1"/>
  <c r="L29" i="1"/>
  <c r="K17" i="43" s="1"/>
  <c r="C17" i="40"/>
  <c r="C17" i="57"/>
  <c r="C17" i="16"/>
  <c r="C17" i="28"/>
  <c r="C17" i="24"/>
  <c r="C17" i="49"/>
  <c r="C17" i="41"/>
  <c r="C17" i="5"/>
  <c r="C17" i="43"/>
  <c r="C17" i="10"/>
  <c r="C17" i="34"/>
  <c r="C17" i="17"/>
  <c r="C17" i="56"/>
  <c r="C17" i="38"/>
  <c r="C17" i="4"/>
  <c r="C17" i="7"/>
  <c r="C17" i="19"/>
  <c r="C17" i="51"/>
  <c r="C17" i="36"/>
  <c r="C17" i="35"/>
  <c r="C17" i="8"/>
  <c r="C17" i="9"/>
  <c r="C17" i="6"/>
  <c r="C17" i="55"/>
  <c r="K13" i="36"/>
  <c r="K21" i="36" s="1"/>
  <c r="K27" i="36" s="1"/>
  <c r="Q27" i="1"/>
  <c r="C36" i="40"/>
  <c r="Z23" i="1"/>
  <c r="N25" i="25" s="1"/>
  <c r="Q31" i="1"/>
  <c r="Z29" i="1"/>
  <c r="N31" i="25" s="1"/>
  <c r="F31" i="25"/>
  <c r="W31" i="25" s="1"/>
  <c r="E38" i="43" s="1"/>
  <c r="K13" i="34"/>
  <c r="K21" i="34" s="1"/>
  <c r="K27" i="34" s="1"/>
  <c r="Q26" i="1"/>
  <c r="AD16" i="1"/>
  <c r="K42" i="55" s="1"/>
  <c r="AD19" i="1"/>
  <c r="K42" i="28" s="1"/>
  <c r="C36" i="43"/>
  <c r="C39" i="43"/>
  <c r="Q11" i="1"/>
  <c r="Z22" i="1"/>
  <c r="N24" i="25" s="1"/>
  <c r="K13" i="56"/>
  <c r="K21" i="56" s="1"/>
  <c r="K27" i="56" s="1"/>
  <c r="Q20" i="1"/>
  <c r="K21" i="7"/>
  <c r="K27" i="7" s="1"/>
  <c r="Q13" i="1"/>
  <c r="K36" i="1"/>
  <c r="K25" i="35"/>
  <c r="K21" i="17"/>
  <c r="K27" i="17" s="1"/>
  <c r="I36" i="1"/>
  <c r="Z31" i="1"/>
  <c r="N33" i="25" s="1"/>
  <c r="C36" i="51"/>
  <c r="C39" i="51" s="1"/>
  <c r="C39" i="56"/>
  <c r="J36" i="1"/>
  <c r="K18" i="43"/>
  <c r="C36" i="17"/>
  <c r="C39" i="17" s="1"/>
  <c r="F20" i="25"/>
  <c r="W20" i="25" s="1"/>
  <c r="E38" i="17" s="1"/>
  <c r="Z18" i="1"/>
  <c r="N20" i="25" s="1"/>
  <c r="O20" i="25" s="1"/>
  <c r="R20" i="25" s="1"/>
  <c r="Q22" i="1"/>
  <c r="E17" i="25"/>
  <c r="K13" i="5"/>
  <c r="K21" i="5" s="1"/>
  <c r="K27" i="5" s="1"/>
  <c r="Q9" i="1"/>
  <c r="Z27" i="1"/>
  <c r="N29" i="25" s="1"/>
  <c r="F29" i="25"/>
  <c r="W29" i="25" s="1"/>
  <c r="E38" i="36" s="1"/>
  <c r="G36" i="25"/>
  <c r="K21" i="51"/>
  <c r="K27" i="51" s="1"/>
  <c r="C39" i="40"/>
  <c r="O36" i="1"/>
  <c r="Q17" i="1"/>
  <c r="J36" i="25"/>
  <c r="AC36" i="1"/>
  <c r="C36" i="55"/>
  <c r="C39" i="55" s="1"/>
  <c r="F18" i="25"/>
  <c r="W18" i="25" s="1"/>
  <c r="E38" i="55" s="1"/>
  <c r="K13" i="35"/>
  <c r="K13" i="38"/>
  <c r="K21" i="38" s="1"/>
  <c r="K27" i="38" s="1"/>
  <c r="Q28" i="1"/>
  <c r="G36" i="1"/>
  <c r="Q8" i="1"/>
  <c r="K15" i="4"/>
  <c r="K21" i="4" s="1"/>
  <c r="K27" i="4" s="1"/>
  <c r="R8" i="1"/>
  <c r="P36" i="1"/>
  <c r="E21" i="25"/>
  <c r="O21" i="25" s="1"/>
  <c r="R21" i="25" s="1"/>
  <c r="AA19" i="1"/>
  <c r="C39" i="34"/>
  <c r="F19" i="25"/>
  <c r="W19" i="25" s="1"/>
  <c r="E38" i="16" s="1"/>
  <c r="C36" i="16"/>
  <c r="K20" i="8"/>
  <c r="H36" i="25"/>
  <c r="K25" i="38"/>
  <c r="K21" i="28"/>
  <c r="K27" i="28" s="1"/>
  <c r="F14" i="25"/>
  <c r="W14" i="25" s="1"/>
  <c r="E38" i="8" s="1"/>
  <c r="Z12" i="1"/>
  <c r="N14" i="25" s="1"/>
  <c r="K21" i="16"/>
  <c r="K27" i="16" s="1"/>
  <c r="L25" i="1"/>
  <c r="K17" i="35" s="1"/>
  <c r="O76" i="1"/>
  <c r="AD10" i="1"/>
  <c r="K42" i="6" s="1"/>
  <c r="Q21" i="1"/>
  <c r="Z24" i="1"/>
  <c r="N26" i="25" s="1"/>
  <c r="C36" i="24"/>
  <c r="C39" i="24" s="1"/>
  <c r="Q14" i="1"/>
  <c r="K15" i="9"/>
  <c r="R13" i="1"/>
  <c r="F26" i="25"/>
  <c r="W26" i="25" s="1"/>
  <c r="E38" i="24" s="1"/>
  <c r="C39" i="16"/>
  <c r="C39" i="36"/>
  <c r="L31" i="1"/>
  <c r="K17" i="51" s="1"/>
  <c r="R30" i="1"/>
  <c r="K25" i="17"/>
  <c r="L23" i="1"/>
  <c r="K17" i="40" s="1"/>
  <c r="K21" i="40" s="1"/>
  <c r="K27" i="40" s="1"/>
  <c r="C36" i="38"/>
  <c r="C39" i="38" s="1"/>
  <c r="E10" i="25" l="1"/>
  <c r="Q23" i="1"/>
  <c r="Z30" i="1"/>
  <c r="N32" i="25" s="1"/>
  <c r="F32" i="25"/>
  <c r="W32" i="25" s="1"/>
  <c r="E38" i="49" s="1"/>
  <c r="C36" i="49"/>
  <c r="C39" i="49" s="1"/>
  <c r="E29" i="25"/>
  <c r="O29" i="25" s="1"/>
  <c r="R29" i="25" s="1"/>
  <c r="AA27" i="1"/>
  <c r="AD27" i="1" s="1"/>
  <c r="K42" i="36" s="1"/>
  <c r="K21" i="35"/>
  <c r="K27" i="35" s="1"/>
  <c r="AA22" i="1"/>
  <c r="AD22" i="1" s="1"/>
  <c r="K42" i="19" s="1"/>
  <c r="E24" i="25"/>
  <c r="O24" i="25" s="1"/>
  <c r="R24" i="25" s="1"/>
  <c r="E22" i="25"/>
  <c r="O22" i="25" s="1"/>
  <c r="R22" i="25" s="1"/>
  <c r="AA20" i="1"/>
  <c r="AD20" i="1" s="1"/>
  <c r="K42" i="56" s="1"/>
  <c r="L36" i="1"/>
  <c r="E15" i="25"/>
  <c r="O15" i="25" s="1"/>
  <c r="R15" i="25" s="1"/>
  <c r="AA13" i="1"/>
  <c r="AD13" i="1" s="1"/>
  <c r="K42" i="9" s="1"/>
  <c r="Q25" i="1"/>
  <c r="K21" i="24"/>
  <c r="K27" i="24" s="1"/>
  <c r="AA21" i="1"/>
  <c r="AD21" i="1" s="1"/>
  <c r="K42" i="57" s="1"/>
  <c r="E23" i="25"/>
  <c r="O23" i="25" s="1"/>
  <c r="R23" i="25" s="1"/>
  <c r="AA12" i="1"/>
  <c r="AD12" i="1" s="1"/>
  <c r="K42" i="8" s="1"/>
  <c r="E14" i="25"/>
  <c r="O14" i="25" s="1"/>
  <c r="R14" i="25" s="1"/>
  <c r="AA9" i="1"/>
  <c r="AD9" i="1" s="1"/>
  <c r="K42" i="5" s="1"/>
  <c r="E11" i="25"/>
  <c r="O11" i="25" s="1"/>
  <c r="R11" i="25" s="1"/>
  <c r="AA14" i="1"/>
  <c r="AD14" i="1" s="1"/>
  <c r="K42" i="10" s="1"/>
  <c r="E16" i="25"/>
  <c r="O16" i="25" s="1"/>
  <c r="R16" i="25" s="1"/>
  <c r="AA17" i="1"/>
  <c r="AD17" i="1" s="1"/>
  <c r="K42" i="16" s="1"/>
  <c r="E19" i="25"/>
  <c r="O19" i="25" s="1"/>
  <c r="R19" i="25" s="1"/>
  <c r="AA26" i="1"/>
  <c r="AD26" i="1" s="1"/>
  <c r="K42" i="34" s="1"/>
  <c r="E28" i="25"/>
  <c r="O28" i="25" s="1"/>
  <c r="R28" i="25" s="1"/>
  <c r="R36" i="1"/>
  <c r="C36" i="4"/>
  <c r="C39" i="4" s="1"/>
  <c r="Z8" i="1"/>
  <c r="F10" i="25"/>
  <c r="E31" i="25"/>
  <c r="O31" i="25" s="1"/>
  <c r="R31" i="25" s="1"/>
  <c r="AA29" i="1"/>
  <c r="AD29" i="1" s="1"/>
  <c r="K42" i="43" s="1"/>
  <c r="C36" i="35"/>
  <c r="C39" i="35" s="1"/>
  <c r="F27" i="25"/>
  <c r="W27" i="25" s="1"/>
  <c r="E38" i="35" s="1"/>
  <c r="Z25" i="1"/>
  <c r="N27" i="25" s="1"/>
  <c r="E32" i="25"/>
  <c r="AA28" i="1"/>
  <c r="AD28" i="1" s="1"/>
  <c r="K42" i="38" s="1"/>
  <c r="E30" i="25"/>
  <c r="O30" i="25" s="1"/>
  <c r="R30" i="25" s="1"/>
  <c r="AA15" i="1"/>
  <c r="AD15" i="1" s="1"/>
  <c r="K42" i="41" s="1"/>
  <c r="K21" i="43"/>
  <c r="K27" i="43" s="1"/>
  <c r="E13" i="25"/>
  <c r="O13" i="25" s="1"/>
  <c r="R13" i="25" s="1"/>
  <c r="AA11" i="1"/>
  <c r="AD11" i="1" s="1"/>
  <c r="K42" i="7" s="1"/>
  <c r="F15" i="25"/>
  <c r="W15" i="25" s="1"/>
  <c r="E38" i="9" s="1"/>
  <c r="Z13" i="1"/>
  <c r="N15" i="25" s="1"/>
  <c r="C36" i="9"/>
  <c r="C39" i="9" s="1"/>
  <c r="AA18" i="1"/>
  <c r="AD18" i="1" s="1"/>
  <c r="K42" i="17" s="1"/>
  <c r="AA31" i="1"/>
  <c r="AD31" i="1" s="1"/>
  <c r="K42" i="51" s="1"/>
  <c r="E33" i="25"/>
  <c r="O33" i="25" s="1"/>
  <c r="R33" i="25" s="1"/>
  <c r="O17" i="25"/>
  <c r="R17" i="25" s="1"/>
  <c r="Q24" i="1"/>
  <c r="AA25" i="1" l="1"/>
  <c r="AD25" i="1" s="1"/>
  <c r="K42" i="35" s="1"/>
  <c r="E27" i="25"/>
  <c r="O27" i="25" s="1"/>
  <c r="R27" i="25" s="1"/>
  <c r="AA24" i="1"/>
  <c r="AD24" i="1" s="1"/>
  <c r="K42" i="24" s="1"/>
  <c r="E26" i="25"/>
  <c r="O26" i="25" s="1"/>
  <c r="R26" i="25" s="1"/>
  <c r="F36" i="25"/>
  <c r="W10" i="25"/>
  <c r="N10" i="25"/>
  <c r="N36" i="25" s="1"/>
  <c r="Z36" i="1"/>
  <c r="O10" i="25"/>
  <c r="O32" i="25"/>
  <c r="R32" i="25" s="1"/>
  <c r="AA8" i="1"/>
  <c r="E25" i="25"/>
  <c r="O25" i="25" s="1"/>
  <c r="R25" i="25" s="1"/>
  <c r="AA23" i="1"/>
  <c r="AD23" i="1" s="1"/>
  <c r="K42" i="40" s="1"/>
  <c r="AA30" i="1"/>
  <c r="AD30" i="1" s="1"/>
  <c r="K42" i="49" s="1"/>
  <c r="Q36" i="1"/>
  <c r="AA36" i="1" l="1"/>
  <c r="AD8" i="1"/>
  <c r="E36" i="25"/>
  <c r="W36" i="25"/>
  <c r="E38" i="4"/>
  <c r="O36" i="25"/>
  <c r="R10" i="25"/>
  <c r="R36" i="25" s="1"/>
  <c r="AD36" i="1" l="1"/>
  <c r="K42" i="4"/>
</calcChain>
</file>

<file path=xl/sharedStrings.xml><?xml version="1.0" encoding="utf-8"?>
<sst xmlns="http://schemas.openxmlformats.org/spreadsheetml/2006/main" count="1518" uniqueCount="141">
  <si>
    <t>From :</t>
  </si>
  <si>
    <t>To :</t>
  </si>
  <si>
    <t>Currency:   USD</t>
  </si>
  <si>
    <t xml:space="preserve">D E D U C T I O N S </t>
  </si>
  <si>
    <t>No.</t>
  </si>
  <si>
    <t>NAME</t>
  </si>
  <si>
    <t>RANK</t>
  </si>
  <si>
    <t>WAGES</t>
  </si>
  <si>
    <t>DAYS</t>
  </si>
  <si>
    <t>AMOUNT</t>
  </si>
  <si>
    <t>OVERTIME</t>
  </si>
  <si>
    <t>LEAVE</t>
  </si>
  <si>
    <t>TOTAL</t>
  </si>
  <si>
    <t>SIGNATURE</t>
  </si>
  <si>
    <t>BONUS</t>
  </si>
  <si>
    <t>EARNINGS</t>
  </si>
  <si>
    <t xml:space="preserve"> SING. PAYM.</t>
  </si>
  <si>
    <t>Master</t>
  </si>
  <si>
    <t xml:space="preserve"> </t>
  </si>
  <si>
    <t>OS</t>
  </si>
  <si>
    <t>NOTE :</t>
  </si>
  <si>
    <t>EXPLANATIONS</t>
  </si>
  <si>
    <t>OVER -</t>
  </si>
  <si>
    <t>DECK</t>
  </si>
  <si>
    <t>TIME</t>
  </si>
  <si>
    <t>REMARKS</t>
  </si>
  <si>
    <t>RATING</t>
  </si>
  <si>
    <t>ENGINE</t>
  </si>
  <si>
    <t>CATERING</t>
  </si>
  <si>
    <t>WOR-</t>
  </si>
  <si>
    <t>On board</t>
  </si>
  <si>
    <t>KING</t>
  </si>
  <si>
    <t>WAGE  ACCOUNT</t>
  </si>
  <si>
    <t xml:space="preserve">Currency : </t>
  </si>
  <si>
    <t>USD</t>
  </si>
  <si>
    <t>Monthly Basic Wages:</t>
  </si>
  <si>
    <t>Seaman:</t>
  </si>
  <si>
    <t>Monthly Company Bonus:</t>
  </si>
  <si>
    <t>Rank:</t>
  </si>
  <si>
    <t>Period on board:</t>
  </si>
  <si>
    <t>Signed on:</t>
  </si>
  <si>
    <t xml:space="preserve">Month: </t>
  </si>
  <si>
    <t>Days:</t>
  </si>
  <si>
    <t>days</t>
  </si>
  <si>
    <t>Wages from</t>
  </si>
  <si>
    <t>till</t>
  </si>
  <si>
    <t>=</t>
  </si>
  <si>
    <t>months</t>
  </si>
  <si>
    <t>Leave Pay</t>
  </si>
  <si>
    <t>Bonus</t>
  </si>
  <si>
    <t>Various</t>
  </si>
  <si>
    <t>TOTAL EARNINGS</t>
  </si>
  <si>
    <t>DEDUCTIONS</t>
  </si>
  <si>
    <t>Canteen:</t>
  </si>
  <si>
    <t>Cash advances:</t>
  </si>
  <si>
    <t>Various:</t>
  </si>
  <si>
    <t>TOTAL DEDUCTIONS</t>
  </si>
  <si>
    <t>Date of discharge:</t>
  </si>
  <si>
    <t>Port:</t>
  </si>
  <si>
    <t>Reason of discharge:</t>
  </si>
  <si>
    <t>Balance of wages to be paid by</t>
  </si>
  <si>
    <t>Balance to be withheld until Company's decision.</t>
  </si>
  <si>
    <t>Payment of the above sum settles all my claims against Ship and Owners.</t>
  </si>
  <si>
    <t>(Master's signature and Ship's stamp)</t>
  </si>
  <si>
    <t>(Seaman)</t>
  </si>
  <si>
    <t>Page 1 of 1</t>
  </si>
  <si>
    <t>2nd Engineer</t>
  </si>
  <si>
    <t>BALANCE</t>
  </si>
  <si>
    <t xml:space="preserve">                                  </t>
  </si>
  <si>
    <t>Month:</t>
  </si>
  <si>
    <t>30</t>
  </si>
  <si>
    <t xml:space="preserve">P O R T A G E   B I L L       </t>
  </si>
  <si>
    <t>FIDELITY</t>
  </si>
  <si>
    <t xml:space="preserve">     LEAVE</t>
  </si>
  <si>
    <t>TTL</t>
  </si>
  <si>
    <t xml:space="preserve">HOUR       </t>
  </si>
  <si>
    <t xml:space="preserve">CASH ADV.1 </t>
  </si>
  <si>
    <t>CASH ADV.2</t>
  </si>
  <si>
    <t xml:space="preserve">                                                TOTAL</t>
  </si>
  <si>
    <t>ON BOARD DEDUCTION LIST</t>
  </si>
  <si>
    <t>Revision Number</t>
  </si>
  <si>
    <t>Page Number</t>
  </si>
  <si>
    <t>:</t>
  </si>
  <si>
    <t>1 of 1</t>
  </si>
  <si>
    <t>Slopchest</t>
  </si>
  <si>
    <t>Telecon</t>
  </si>
  <si>
    <t>M O N T H L Y</t>
  </si>
  <si>
    <t>Union Contribution</t>
  </si>
  <si>
    <r>
      <t xml:space="preserve">Master  </t>
    </r>
    <r>
      <rPr>
        <u/>
        <sz val="9"/>
        <rFont val="Arial"/>
        <family val="2"/>
      </rPr>
      <t xml:space="preserve">                                                          </t>
    </r>
    <r>
      <rPr>
        <sz val="9"/>
        <rFont val="Arial"/>
        <family val="2"/>
      </rPr>
      <t xml:space="preserve">  </t>
    </r>
    <r>
      <rPr>
        <b/>
        <i/>
        <sz val="9"/>
        <rFont val="Arial"/>
        <family val="2"/>
      </rPr>
      <t xml:space="preserve">/                            </t>
    </r>
    <r>
      <rPr>
        <b/>
        <i/>
        <sz val="9"/>
        <rFont val="Arial"/>
        <family val="2"/>
        <charset val="204"/>
      </rPr>
      <t xml:space="preserve"> </t>
    </r>
    <r>
      <rPr>
        <b/>
        <i/>
        <sz val="9"/>
        <rFont val="Arial"/>
        <family val="2"/>
      </rPr>
      <t xml:space="preserve"> /</t>
    </r>
  </si>
  <si>
    <t>01</t>
  </si>
  <si>
    <t xml:space="preserve">Vessel:     </t>
  </si>
  <si>
    <t xml:space="preserve">         BASIC Pay</t>
  </si>
  <si>
    <t>Other</t>
  </si>
  <si>
    <t>1 of 3</t>
  </si>
  <si>
    <t>2 of 3</t>
  </si>
  <si>
    <t>3 of 3</t>
  </si>
  <si>
    <t>Wiper</t>
  </si>
  <si>
    <t xml:space="preserve">T O T A L </t>
  </si>
  <si>
    <t>Single Payment</t>
  </si>
  <si>
    <t>2nd Officer</t>
  </si>
  <si>
    <t>3d Officer</t>
  </si>
  <si>
    <t>Chief officer</t>
  </si>
  <si>
    <t>Chief Engineer</t>
  </si>
  <si>
    <t>3d Engineer</t>
  </si>
  <si>
    <t>4th Engineer</t>
  </si>
  <si>
    <t>Bosun</t>
  </si>
  <si>
    <t>****Leave pay is payable at the end of the contract.</t>
  </si>
  <si>
    <t>***Leave pay is payable at the end of the contract.</t>
  </si>
  <si>
    <t>Allotmеnt</t>
  </si>
  <si>
    <t xml:space="preserve">TOTAL DEDUCTIONS </t>
  </si>
  <si>
    <t>PREVIOUS BALANCE</t>
  </si>
  <si>
    <t>FINAL BALLANCE</t>
  </si>
  <si>
    <t>***Leave pay</t>
  </si>
  <si>
    <t>OWNERS: Sea Traffic Shipping Co.</t>
  </si>
  <si>
    <t>nil</t>
  </si>
  <si>
    <t>Travelling</t>
  </si>
  <si>
    <t>summa</t>
  </si>
  <si>
    <t>Bonus &amp; Extras</t>
  </si>
  <si>
    <t>ABS</t>
  </si>
  <si>
    <t>CCK</t>
  </si>
  <si>
    <t>Deck Fitter</t>
  </si>
  <si>
    <t>Motorman</t>
  </si>
  <si>
    <t>Preious Leave pay</t>
  </si>
  <si>
    <t>Accumulated Leave pay</t>
  </si>
  <si>
    <t>****Leave pay for off-signers</t>
  </si>
  <si>
    <t>**** Leave pay only for off-signers</t>
  </si>
  <si>
    <t>*Attention! Please fill green box only!</t>
  </si>
  <si>
    <t>*Attention! Please fill green box only and  TABLE 2</t>
  </si>
  <si>
    <t>Cr-17</t>
  </si>
  <si>
    <t>MBOY</t>
  </si>
  <si>
    <r>
      <t>TABLE 2 :</t>
    </r>
    <r>
      <rPr>
        <b/>
        <sz val="12"/>
        <rFont val="Arial"/>
        <family val="2"/>
        <charset val="204"/>
      </rPr>
      <t xml:space="preserve">  CREW'S  MONTHLY  AND  TRAVELLING  EARNINGS  (DO NOT PRINT)</t>
    </r>
  </si>
  <si>
    <t>ALLOWANCE</t>
  </si>
  <si>
    <t>El.ENG</t>
  </si>
  <si>
    <t>Engine Fitter</t>
  </si>
  <si>
    <t>Electrician</t>
  </si>
  <si>
    <t>Previous balance</t>
  </si>
  <si>
    <t>ALLOTMENT</t>
  </si>
  <si>
    <t>Balance of wages</t>
  </si>
  <si>
    <t>Leave pay (for off-signers only)</t>
  </si>
  <si>
    <t xml:space="preserve">           GRAND TOTAL EARNINGS</t>
  </si>
  <si>
    <t>Overtime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</si>
</sst>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86" formatCode="_(&quot;$&quot;* #,##0.00_);_(&quot;$&quot;* \(#,##0.00\);_(&quot;$&quot;* &quot;-&quot;??_);_(@_)"/>
    <numFmt numFmtId="196" formatCode="[$-409]mmmm\-yy;@"/>
    <numFmt numFmtId="197" formatCode="[$-409]d\-mmm\-yyyy;@"/>
    <numFmt numFmtId="198" formatCode="[$-409]d\-mmm\-yy;@"/>
    <numFmt numFmtId="206" formatCode="0.00_ ;[Red]\-0.00\ "/>
    <numFmt numFmtId="207" formatCode="#,##0.00_ ;[Red]\-#,##0.00\ "/>
  </numFmts>
  <fonts count="69" x14ac:knownFonts="1">
    <font>
      <sz val="10"/>
      <name val="Arial"/>
    </font>
    <font>
      <b/>
      <sz val="10"/>
      <name val="Arial"/>
    </font>
    <font>
      <sz val="10"/>
      <name val="Arial"/>
      <family val="2"/>
      <charset val="204"/>
    </font>
    <font>
      <sz val="10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b/>
      <sz val="12"/>
      <name val="Times New Roman"/>
      <family val="1"/>
      <charset val="204"/>
    </font>
    <font>
      <b/>
      <sz val="12"/>
      <name val="Arial"/>
      <family val="2"/>
      <charset val="204"/>
    </font>
    <font>
      <i/>
      <sz val="6"/>
      <name val="Arial"/>
      <family val="2"/>
    </font>
    <font>
      <b/>
      <sz val="10"/>
      <name val="Times New Roman"/>
      <family val="1"/>
      <charset val="204"/>
    </font>
    <font>
      <b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8"/>
      <name val="Times New Roman"/>
      <family val="1"/>
      <charset val="204"/>
    </font>
    <font>
      <sz val="8"/>
      <name val="Arial"/>
      <family val="2"/>
      <charset val="204"/>
    </font>
    <font>
      <b/>
      <sz val="14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  <charset val="204"/>
    </font>
    <font>
      <b/>
      <sz val="12"/>
      <name val="Arial"/>
      <family val="2"/>
    </font>
    <font>
      <b/>
      <u/>
      <sz val="12"/>
      <name val="Arial"/>
      <family val="2"/>
    </font>
    <font>
      <sz val="26"/>
      <name val="Arial"/>
      <family val="2"/>
      <charset val="204"/>
    </font>
    <font>
      <b/>
      <sz val="24"/>
      <name val="Times New Roman"/>
      <family val="1"/>
    </font>
    <font>
      <sz val="24"/>
      <name val="Arial"/>
      <family val="2"/>
      <charset val="204"/>
    </font>
    <font>
      <b/>
      <sz val="12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i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  <charset val="204"/>
    </font>
    <font>
      <sz val="11"/>
      <name val="Arial"/>
      <family val="2"/>
      <charset val="204"/>
    </font>
    <font>
      <b/>
      <i/>
      <sz val="11"/>
      <name val="Times New Roman"/>
      <family val="1"/>
      <charset val="204"/>
    </font>
    <font>
      <b/>
      <i/>
      <sz val="11"/>
      <name val="Arial"/>
      <family val="2"/>
    </font>
    <font>
      <i/>
      <sz val="8"/>
      <name val="Arial"/>
      <family val="2"/>
      <charset val="204"/>
    </font>
    <font>
      <i/>
      <sz val="8"/>
      <name val="Times New Roman"/>
      <family val="1"/>
      <charset val="204"/>
    </font>
    <font>
      <i/>
      <sz val="8"/>
      <name val="Times New Roman"/>
      <family val="1"/>
    </font>
    <font>
      <b/>
      <sz val="10"/>
      <name val="Times New Roman"/>
      <family val="1"/>
    </font>
    <font>
      <b/>
      <sz val="11"/>
      <color indexed="10"/>
      <name val="Times New Roman"/>
      <family val="1"/>
    </font>
    <font>
      <b/>
      <sz val="12"/>
      <color indexed="10"/>
      <name val="Times New Roman"/>
      <family val="1"/>
    </font>
    <font>
      <sz val="10"/>
      <name val="Times New Roman"/>
      <family val="1"/>
      <charset val="204"/>
    </font>
    <font>
      <u/>
      <sz val="9"/>
      <name val="Arial"/>
      <family val="2"/>
    </font>
    <font>
      <b/>
      <sz val="11"/>
      <color indexed="8"/>
      <name val="Times New Roman"/>
      <family val="1"/>
    </font>
    <font>
      <b/>
      <sz val="22"/>
      <name val="Arial"/>
      <family val="2"/>
    </font>
    <font>
      <sz val="9"/>
      <name val="Arial"/>
      <family val="2"/>
      <charset val="204"/>
    </font>
    <font>
      <sz val="8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9"/>
      <name val="Arial"/>
      <family val="2"/>
      <charset val="204"/>
    </font>
    <font>
      <sz val="8"/>
      <name val="Arial"/>
      <family val="2"/>
      <charset val="204"/>
    </font>
    <font>
      <b/>
      <i/>
      <sz val="9"/>
      <name val="Arial"/>
      <family val="2"/>
      <charset val="204"/>
    </font>
    <font>
      <b/>
      <i/>
      <sz val="8"/>
      <name val="Arial"/>
      <family val="2"/>
      <charset val="204"/>
    </font>
    <font>
      <sz val="10"/>
      <name val="Arial"/>
      <family val="2"/>
      <charset val="204"/>
    </font>
    <font>
      <b/>
      <sz val="14"/>
      <name val="Arial"/>
      <family val="2"/>
      <charset val="204"/>
    </font>
    <font>
      <i/>
      <sz val="9"/>
      <name val="Arial"/>
      <family val="2"/>
      <charset val="204"/>
    </font>
    <font>
      <sz val="9"/>
      <name val="Arial"/>
      <family val="2"/>
      <charset val="204"/>
    </font>
    <font>
      <sz val="14"/>
      <name val="Arial"/>
      <family val="2"/>
      <charset val="204"/>
    </font>
    <font>
      <b/>
      <sz val="12"/>
      <name val="Arial"/>
      <family val="2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9"/>
      <name val="Times New Roman"/>
      <family val="1"/>
      <charset val="204"/>
    </font>
    <font>
      <b/>
      <i/>
      <sz val="10"/>
      <name val="Arial"/>
      <family val="2"/>
      <charset val="204"/>
    </font>
    <font>
      <b/>
      <i/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6"/>
      <name val="Times New Roman"/>
      <family val="1"/>
    </font>
    <font>
      <sz val="10"/>
      <name val="Arial"/>
      <family val="2"/>
    </font>
    <font>
      <sz val="8"/>
      <name val="Arial"/>
      <family val="2"/>
      <charset val="204"/>
    </font>
    <font>
      <b/>
      <sz val="9"/>
      <name val="Times New Roman"/>
      <family val="1"/>
    </font>
    <font>
      <b/>
      <i/>
      <sz val="14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9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2">
    <xf numFmtId="0" fontId="0" fillId="0" borderId="0" xfId="0"/>
    <xf numFmtId="0" fontId="0" fillId="0" borderId="0" xfId="0" applyBorder="1"/>
    <xf numFmtId="0" fontId="7" fillId="0" borderId="0" xfId="0" applyFont="1"/>
    <xf numFmtId="0" fontId="8" fillId="0" borderId="0" xfId="0" applyFont="1" applyAlignment="1">
      <alignment horizontal="righ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right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Continuous"/>
    </xf>
    <xf numFmtId="0" fontId="3" fillId="2" borderId="0" xfId="0" applyFont="1" applyFill="1" applyBorder="1" applyAlignment="1"/>
    <xf numFmtId="0" fontId="7" fillId="0" borderId="0" xfId="0" applyFont="1" applyProtection="1">
      <protection locked="0"/>
    </xf>
    <xf numFmtId="0" fontId="0" fillId="0" borderId="0" xfId="0" applyProtection="1">
      <protection locked="0"/>
    </xf>
    <xf numFmtId="0" fontId="9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3" fillId="0" borderId="4" xfId="0" applyFont="1" applyBorder="1" applyProtection="1"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7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3" fillId="0" borderId="10" xfId="0" applyFont="1" applyBorder="1" applyProtection="1">
      <protection locked="0"/>
    </xf>
    <xf numFmtId="0" fontId="3" fillId="0" borderId="11" xfId="0" applyFont="1" applyBorder="1" applyProtection="1">
      <protection locked="0"/>
    </xf>
    <xf numFmtId="0" fontId="3" fillId="0" borderId="12" xfId="0" applyFont="1" applyBorder="1" applyProtection="1">
      <protection locked="0"/>
    </xf>
    <xf numFmtId="0" fontId="3" fillId="0" borderId="13" xfId="0" applyFont="1" applyBorder="1" applyProtection="1">
      <protection locked="0"/>
    </xf>
    <xf numFmtId="4" fontId="3" fillId="0" borderId="14" xfId="0" applyNumberFormat="1" applyFont="1" applyBorder="1" applyAlignment="1" applyProtection="1">
      <alignment vertical="center"/>
      <protection locked="0"/>
    </xf>
    <xf numFmtId="4" fontId="3" fillId="0" borderId="15" xfId="0" applyNumberFormat="1" applyFont="1" applyBorder="1" applyAlignment="1" applyProtection="1">
      <alignment vertical="center"/>
      <protection locked="0"/>
    </xf>
    <xf numFmtId="0" fontId="1" fillId="0" borderId="0" xfId="0" applyFont="1" applyProtection="1">
      <protection locked="0"/>
    </xf>
    <xf numFmtId="0" fontId="19" fillId="0" borderId="0" xfId="0" applyFont="1"/>
    <xf numFmtId="0" fontId="15" fillId="0" borderId="0" xfId="0" applyFont="1" applyBorder="1" applyAlignment="1" applyProtection="1">
      <alignment horizontal="left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17" fillId="0" borderId="0" xfId="0" applyFont="1" applyBorder="1"/>
    <xf numFmtId="4" fontId="3" fillId="0" borderId="0" xfId="0" applyNumberFormat="1" applyFont="1" applyBorder="1" applyAlignment="1" applyProtection="1">
      <alignment vertical="center"/>
      <protection locked="0"/>
    </xf>
    <xf numFmtId="4" fontId="3" fillId="0" borderId="0" xfId="0" applyNumberFormat="1" applyFont="1" applyBorder="1" applyAlignment="1">
      <alignment vertical="center"/>
    </xf>
    <xf numFmtId="0" fontId="0" fillId="0" borderId="0" xfId="0" applyAlignment="1">
      <alignment horizontal="centerContinuous"/>
    </xf>
    <xf numFmtId="4" fontId="3" fillId="0" borderId="14" xfId="0" applyNumberFormat="1" applyFont="1" applyBorder="1" applyAlignment="1" applyProtection="1">
      <alignment horizontal="centerContinuous" vertical="center"/>
      <protection locked="0"/>
    </xf>
    <xf numFmtId="0" fontId="3" fillId="0" borderId="0" xfId="0" applyFont="1"/>
    <xf numFmtId="0" fontId="3" fillId="0" borderId="16" xfId="0" applyFont="1" applyBorder="1"/>
    <xf numFmtId="0" fontId="3" fillId="0" borderId="3" xfId="0" applyFont="1" applyBorder="1"/>
    <xf numFmtId="0" fontId="26" fillId="0" borderId="0" xfId="0" applyFont="1"/>
    <xf numFmtId="0" fontId="9" fillId="0" borderId="16" xfId="0" applyFont="1" applyBorder="1"/>
    <xf numFmtId="0" fontId="16" fillId="0" borderId="0" xfId="0" applyFont="1" applyAlignment="1">
      <alignment horizontal="left"/>
    </xf>
    <xf numFmtId="0" fontId="16" fillId="0" borderId="0" xfId="0" applyFont="1"/>
    <xf numFmtId="4" fontId="27" fillId="0" borderId="16" xfId="0" applyNumberFormat="1" applyFont="1" applyBorder="1"/>
    <xf numFmtId="4" fontId="28" fillId="0" borderId="16" xfId="0" applyNumberFormat="1" applyFont="1" applyBorder="1"/>
    <xf numFmtId="0" fontId="30" fillId="0" borderId="0" xfId="0" applyFont="1"/>
    <xf numFmtId="4" fontId="27" fillId="0" borderId="0" xfId="0" applyNumberFormat="1" applyFont="1"/>
    <xf numFmtId="0" fontId="0" fillId="0" borderId="16" xfId="0" applyBorder="1"/>
    <xf numFmtId="0" fontId="4" fillId="0" borderId="0" xfId="0" applyFont="1"/>
    <xf numFmtId="0" fontId="4" fillId="0" borderId="0" xfId="0" applyFont="1" applyAlignment="1">
      <alignment horizontal="centerContinuous"/>
    </xf>
    <xf numFmtId="0" fontId="0" fillId="0" borderId="0" xfId="0" applyAlignment="1">
      <alignment horizontal="centerContinuous" vertical="top"/>
    </xf>
    <xf numFmtId="0" fontId="32" fillId="0" borderId="0" xfId="0" applyFont="1" applyAlignment="1">
      <alignment horizontal="centerContinuous"/>
    </xf>
    <xf numFmtId="0" fontId="33" fillId="0" borderId="0" xfId="0" applyFont="1" applyAlignment="1">
      <alignment horizontal="centerContinuous" vertical="top"/>
    </xf>
    <xf numFmtId="0" fontId="34" fillId="0" borderId="0" xfId="0" applyFont="1" applyAlignment="1">
      <alignment horizontal="centerContinuous"/>
    </xf>
    <xf numFmtId="0" fontId="35" fillId="0" borderId="0" xfId="0" applyFont="1"/>
    <xf numFmtId="0" fontId="35" fillId="0" borderId="3" xfId="0" applyFont="1" applyBorder="1"/>
    <xf numFmtId="4" fontId="35" fillId="0" borderId="16" xfId="0" applyNumberFormat="1" applyFont="1" applyBorder="1"/>
    <xf numFmtId="4" fontId="3" fillId="0" borderId="14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/>
    <xf numFmtId="4" fontId="0" fillId="0" borderId="0" xfId="0" applyNumberFormat="1"/>
    <xf numFmtId="0" fontId="37" fillId="0" borderId="0" xfId="0" applyFont="1" applyAlignment="1">
      <alignment horizontal="centerContinuous"/>
    </xf>
    <xf numFmtId="0" fontId="6" fillId="0" borderId="3" xfId="0" applyFont="1" applyBorder="1"/>
    <xf numFmtId="4" fontId="3" fillId="0" borderId="15" xfId="0" applyNumberFormat="1" applyFont="1" applyBorder="1" applyAlignment="1" applyProtection="1">
      <alignment horizontal="centerContinuous" vertical="center"/>
      <protection locked="0"/>
    </xf>
    <xf numFmtId="1" fontId="6" fillId="0" borderId="3" xfId="0" applyNumberFormat="1" applyFont="1" applyBorder="1" applyAlignment="1">
      <alignment horizontal="center"/>
    </xf>
    <xf numFmtId="15" fontId="35" fillId="0" borderId="0" xfId="0" applyNumberFormat="1" applyFont="1" applyAlignment="1">
      <alignment horizontal="center"/>
    </xf>
    <xf numFmtId="0" fontId="25" fillId="0" borderId="0" xfId="0" applyFont="1"/>
    <xf numFmtId="0" fontId="24" fillId="0" borderId="0" xfId="0" applyFont="1" applyAlignment="1">
      <alignment horizontal="right"/>
    </xf>
    <xf numFmtId="0" fontId="27" fillId="0" borderId="17" xfId="0" applyFont="1" applyBorder="1"/>
    <xf numFmtId="0" fontId="28" fillId="0" borderId="18" xfId="0" applyFont="1" applyBorder="1"/>
    <xf numFmtId="0" fontId="3" fillId="0" borderId="19" xfId="0" applyFont="1" applyBorder="1" applyProtection="1">
      <protection locked="0"/>
    </xf>
    <xf numFmtId="0" fontId="3" fillId="0" borderId="20" xfId="0" applyFont="1" applyBorder="1" applyProtection="1">
      <protection locked="0"/>
    </xf>
    <xf numFmtId="0" fontId="3" fillId="0" borderId="21" xfId="0" applyFont="1" applyBorder="1" applyProtection="1">
      <protection locked="0"/>
    </xf>
    <xf numFmtId="0" fontId="3" fillId="0" borderId="8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41" fillId="0" borderId="0" xfId="0" applyFont="1"/>
    <xf numFmtId="0" fontId="16" fillId="0" borderId="16" xfId="0" applyFont="1" applyBorder="1" applyAlignment="1">
      <alignment horizontal="left"/>
    </xf>
    <xf numFmtId="0" fontId="3" fillId="0" borderId="22" xfId="0" applyFont="1" applyBorder="1"/>
    <xf numFmtId="0" fontId="3" fillId="0" borderId="16" xfId="0" applyFont="1" applyBorder="1" applyAlignment="1">
      <alignment horizontal="centerContinuous"/>
    </xf>
    <xf numFmtId="0" fontId="3" fillId="0" borderId="22" xfId="0" applyFont="1" applyBorder="1" applyAlignment="1">
      <alignment horizontal="centerContinuous"/>
    </xf>
    <xf numFmtId="14" fontId="7" fillId="0" borderId="0" xfId="0" quotePrefix="1" applyNumberFormat="1" applyFont="1" applyProtection="1">
      <protection locked="0"/>
    </xf>
    <xf numFmtId="14" fontId="18" fillId="0" borderId="0" xfId="0" quotePrefix="1" applyNumberFormat="1" applyFont="1" applyProtection="1">
      <protection locked="0"/>
    </xf>
    <xf numFmtId="4" fontId="42" fillId="0" borderId="0" xfId="0" applyNumberFormat="1" applyFont="1"/>
    <xf numFmtId="4" fontId="44" fillId="0" borderId="16" xfId="0" applyNumberFormat="1" applyFont="1" applyBorder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 applyAlignment="1">
      <alignment horizontal="centerContinuous"/>
    </xf>
    <xf numFmtId="0" fontId="49" fillId="0" borderId="0" xfId="0" applyFont="1" applyAlignment="1">
      <alignment horizontal="center"/>
    </xf>
    <xf numFmtId="0" fontId="50" fillId="0" borderId="0" xfId="0" applyFont="1" applyBorder="1"/>
    <xf numFmtId="0" fontId="51" fillId="0" borderId="0" xfId="0" applyFont="1"/>
    <xf numFmtId="0" fontId="53" fillId="0" borderId="0" xfId="0" applyFont="1" applyAlignment="1">
      <alignment horizontal="right"/>
    </xf>
    <xf numFmtId="0" fontId="47" fillId="0" borderId="0" xfId="0" quotePrefix="1" applyFont="1" applyAlignment="1">
      <alignment horizontal="right"/>
    </xf>
    <xf numFmtId="0" fontId="47" fillId="0" borderId="0" xfId="0" applyFont="1" applyAlignment="1">
      <alignment horizontal="right"/>
    </xf>
    <xf numFmtId="0" fontId="53" fillId="0" borderId="3" xfId="0" applyFont="1" applyBorder="1" applyAlignment="1">
      <alignment horizontal="right"/>
    </xf>
    <xf numFmtId="0" fontId="53" fillId="0" borderId="0" xfId="0" applyFont="1"/>
    <xf numFmtId="0" fontId="53" fillId="0" borderId="3" xfId="0" applyFont="1" applyBorder="1"/>
    <xf numFmtId="0" fontId="52" fillId="0" borderId="0" xfId="0" applyFont="1" applyAlignment="1">
      <alignment horizontal="center"/>
    </xf>
    <xf numFmtId="0" fontId="53" fillId="0" borderId="0" xfId="0" applyFont="1" applyBorder="1"/>
    <xf numFmtId="0" fontId="46" fillId="0" borderId="3" xfId="0" applyFont="1" applyBorder="1"/>
    <xf numFmtId="0" fontId="55" fillId="0" borderId="0" xfId="0" applyFont="1"/>
    <xf numFmtId="0" fontId="45" fillId="0" borderId="0" xfId="0" applyFont="1" applyAlignment="1">
      <alignment horizontal="center"/>
    </xf>
    <xf numFmtId="4" fontId="51" fillId="0" borderId="0" xfId="0" applyNumberFormat="1" applyFont="1" applyBorder="1"/>
    <xf numFmtId="0" fontId="54" fillId="0" borderId="0" xfId="0" applyFont="1" applyBorder="1"/>
    <xf numFmtId="0" fontId="45" fillId="0" borderId="16" xfId="0" applyFont="1" applyBorder="1" applyAlignment="1">
      <alignment horizontal="center"/>
    </xf>
    <xf numFmtId="4" fontId="56" fillId="0" borderId="23" xfId="0" applyNumberFormat="1" applyFont="1" applyBorder="1"/>
    <xf numFmtId="0" fontId="45" fillId="2" borderId="23" xfId="0" applyFont="1" applyFill="1" applyBorder="1" applyAlignment="1">
      <alignment horizontal="center"/>
    </xf>
    <xf numFmtId="0" fontId="3" fillId="3" borderId="1" xfId="0" applyFont="1" applyFill="1" applyBorder="1" applyAlignment="1"/>
    <xf numFmtId="0" fontId="3" fillId="3" borderId="24" xfId="0" applyFont="1" applyFill="1" applyBorder="1" applyAlignment="1"/>
    <xf numFmtId="0" fontId="3" fillId="3" borderId="25" xfId="0" applyFont="1" applyFill="1" applyBorder="1" applyAlignment="1"/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 vertical="top"/>
    </xf>
    <xf numFmtId="0" fontId="3" fillId="3" borderId="27" xfId="0" applyFont="1" applyFill="1" applyBorder="1" applyAlignment="1">
      <alignment horizontal="centerContinuous"/>
    </xf>
    <xf numFmtId="0" fontId="3" fillId="3" borderId="28" xfId="0" applyFont="1" applyFill="1" applyBorder="1" applyAlignment="1">
      <alignment horizontal="centerContinuous"/>
    </xf>
    <xf numFmtId="0" fontId="3" fillId="3" borderId="28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Continuous" vertical="top"/>
    </xf>
    <xf numFmtId="0" fontId="3" fillId="3" borderId="12" xfId="0" applyFont="1" applyFill="1" applyBorder="1" applyAlignment="1">
      <alignment horizontal="centerContinuous" vertical="top"/>
    </xf>
    <xf numFmtId="0" fontId="4" fillId="3" borderId="26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top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top"/>
    </xf>
    <xf numFmtId="0" fontId="3" fillId="3" borderId="2" xfId="0" applyFont="1" applyFill="1" applyBorder="1"/>
    <xf numFmtId="0" fontId="3" fillId="3" borderId="26" xfId="0" applyFont="1" applyFill="1" applyBorder="1"/>
    <xf numFmtId="0" fontId="4" fillId="3" borderId="26" xfId="0" applyFont="1" applyFill="1" applyBorder="1"/>
    <xf numFmtId="0" fontId="3" fillId="3" borderId="29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Continuous"/>
    </xf>
    <xf numFmtId="0" fontId="3" fillId="3" borderId="31" xfId="0" applyFont="1" applyFill="1" applyBorder="1" applyAlignment="1">
      <alignment horizontal="centerContinuous"/>
    </xf>
    <xf numFmtId="0" fontId="3" fillId="3" borderId="31" xfId="0" applyFont="1" applyFill="1" applyBorder="1" applyAlignment="1"/>
    <xf numFmtId="0" fontId="3" fillId="3" borderId="32" xfId="0" applyFont="1" applyFill="1" applyBorder="1"/>
    <xf numFmtId="0" fontId="3" fillId="3" borderId="26" xfId="0" applyFont="1" applyFill="1" applyBorder="1" applyAlignment="1">
      <alignment horizontal="centerContinuous"/>
    </xf>
    <xf numFmtId="0" fontId="4" fillId="3" borderId="26" xfId="0" applyFont="1" applyFill="1" applyBorder="1" applyAlignment="1"/>
    <xf numFmtId="0" fontId="27" fillId="2" borderId="0" xfId="0" applyFont="1" applyFill="1" applyBorder="1" applyAlignment="1">
      <alignment horizontal="centerContinuous"/>
    </xf>
    <xf numFmtId="14" fontId="36" fillId="0" borderId="0" xfId="0" applyNumberFormat="1" applyFont="1" applyBorder="1" applyAlignment="1">
      <alignment horizontal="centerContinuous"/>
    </xf>
    <xf numFmtId="0" fontId="14" fillId="0" borderId="0" xfId="0" applyFont="1" applyAlignment="1">
      <alignment horizontal="right"/>
    </xf>
    <xf numFmtId="0" fontId="41" fillId="0" borderId="9" xfId="0" applyFont="1" applyBorder="1" applyAlignment="1"/>
    <xf numFmtId="0" fontId="0" fillId="0" borderId="9" xfId="0" applyBorder="1" applyAlignment="1"/>
    <xf numFmtId="0" fontId="2" fillId="0" borderId="0" xfId="0" applyFont="1" applyAlignment="1">
      <alignment horizontal="centerContinuous"/>
    </xf>
    <xf numFmtId="0" fontId="2" fillId="0" borderId="0" xfId="0" applyFont="1"/>
    <xf numFmtId="4" fontId="3" fillId="0" borderId="16" xfId="0" applyNumberFormat="1" applyFont="1" applyBorder="1"/>
    <xf numFmtId="0" fontId="58" fillId="0" borderId="0" xfId="0" applyFont="1" applyAlignment="1">
      <alignment horizontal="right"/>
    </xf>
    <xf numFmtId="2" fontId="7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47" fillId="0" borderId="0" xfId="0" applyFont="1" applyProtection="1">
      <protection locked="0"/>
    </xf>
    <xf numFmtId="0" fontId="53" fillId="0" borderId="0" xfId="0" applyFont="1" applyAlignment="1" applyProtection="1">
      <alignment horizontal="right"/>
      <protection locked="0"/>
    </xf>
    <xf numFmtId="0" fontId="47" fillId="0" borderId="0" xfId="0" quotePrefix="1" applyFont="1" applyAlignment="1" applyProtection="1">
      <alignment horizontal="right"/>
      <protection locked="0"/>
    </xf>
    <xf numFmtId="0" fontId="47" fillId="0" borderId="0" xfId="0" applyFont="1" applyAlignment="1" applyProtection="1">
      <alignment horizontal="right"/>
      <protection locked="0"/>
    </xf>
    <xf numFmtId="0" fontId="15" fillId="0" borderId="0" xfId="0" applyFont="1" applyProtection="1">
      <protection locked="0"/>
    </xf>
    <xf numFmtId="0" fontId="24" fillId="0" borderId="0" xfId="0" applyFont="1" applyAlignment="1" applyProtection="1">
      <alignment horizontal="centerContinuous" vertical="top"/>
      <protection locked="0"/>
    </xf>
    <xf numFmtId="0" fontId="3" fillId="0" borderId="0" xfId="0" applyFont="1" applyAlignment="1" applyProtection="1">
      <alignment horizontal="centerContinuous"/>
      <protection locked="0"/>
    </xf>
    <xf numFmtId="0" fontId="16" fillId="0" borderId="0" xfId="0" applyFont="1" applyProtection="1">
      <protection locked="0"/>
    </xf>
    <xf numFmtId="0" fontId="9" fillId="0" borderId="16" xfId="0" applyFont="1" applyBorder="1" applyProtection="1">
      <protection locked="0"/>
    </xf>
    <xf numFmtId="0" fontId="6" fillId="0" borderId="16" xfId="0" applyFont="1" applyBorder="1" applyAlignment="1" applyProtection="1">
      <alignment horizontal="left"/>
      <protection locked="0"/>
    </xf>
    <xf numFmtId="0" fontId="38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28" fillId="0" borderId="16" xfId="0" applyFont="1" applyBorder="1" applyAlignment="1" applyProtection="1">
      <alignment horizontal="centerContinuous"/>
      <protection locked="0"/>
    </xf>
    <xf numFmtId="0" fontId="9" fillId="0" borderId="16" xfId="0" applyFont="1" applyBorder="1" applyAlignment="1" applyProtection="1">
      <alignment horizontal="centerContinuous"/>
      <protection locked="0"/>
    </xf>
    <xf numFmtId="0" fontId="16" fillId="0" borderId="16" xfId="0" applyFont="1" applyBorder="1" applyProtection="1">
      <protection locked="0"/>
    </xf>
    <xf numFmtId="4" fontId="27" fillId="0" borderId="16" xfId="0" applyNumberFormat="1" applyFont="1" applyBorder="1" applyProtection="1">
      <protection locked="0"/>
    </xf>
    <xf numFmtId="0" fontId="27" fillId="0" borderId="16" xfId="0" applyFont="1" applyBorder="1" applyProtection="1">
      <protection locked="0"/>
    </xf>
    <xf numFmtId="0" fontId="3" fillId="0" borderId="16" xfId="0" applyFont="1" applyBorder="1" applyProtection="1">
      <protection locked="0"/>
    </xf>
    <xf numFmtId="0" fontId="28" fillId="0" borderId="16" xfId="0" applyFont="1" applyBorder="1" applyProtection="1">
      <protection locked="0"/>
    </xf>
    <xf numFmtId="14" fontId="27" fillId="0" borderId="16" xfId="0" applyNumberFormat="1" applyFont="1" applyBorder="1" applyAlignment="1" applyProtection="1">
      <protection locked="0"/>
    </xf>
    <xf numFmtId="14" fontId="9" fillId="0" borderId="22" xfId="0" applyNumberFormat="1" applyFont="1" applyBorder="1" applyAlignment="1" applyProtection="1">
      <alignment horizontal="center"/>
      <protection locked="0"/>
    </xf>
    <xf numFmtId="49" fontId="28" fillId="0" borderId="16" xfId="0" applyNumberFormat="1" applyFont="1" applyBorder="1" applyAlignment="1" applyProtection="1">
      <alignment horizontal="center"/>
      <protection locked="0"/>
    </xf>
    <xf numFmtId="49" fontId="9" fillId="0" borderId="0" xfId="0" applyNumberFormat="1" applyFont="1" applyAlignment="1" applyProtection="1">
      <alignment horizontal="center"/>
      <protection locked="0"/>
    </xf>
    <xf numFmtId="3" fontId="28" fillId="0" borderId="16" xfId="0" applyNumberFormat="1" applyFont="1" applyBorder="1" applyProtection="1">
      <protection locked="0"/>
    </xf>
    <xf numFmtId="0" fontId="3" fillId="0" borderId="3" xfId="0" applyFont="1" applyBorder="1" applyAlignment="1" applyProtection="1">
      <alignment horizontal="centerContinuous"/>
      <protection locked="0"/>
    </xf>
    <xf numFmtId="0" fontId="26" fillId="0" borderId="0" xfId="0" applyFont="1" applyProtection="1">
      <protection locked="0"/>
    </xf>
    <xf numFmtId="0" fontId="16" fillId="0" borderId="0" xfId="0" applyFont="1" applyAlignment="1" applyProtection="1">
      <alignment horizontal="left"/>
      <protection locked="0"/>
    </xf>
    <xf numFmtId="14" fontId="27" fillId="0" borderId="16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14" fontId="3" fillId="0" borderId="16" xfId="0" applyNumberFormat="1" applyFont="1" applyBorder="1" applyProtection="1">
      <protection locked="0"/>
    </xf>
    <xf numFmtId="1" fontId="27" fillId="0" borderId="16" xfId="0" applyNumberFormat="1" applyFont="1" applyBorder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Continuous"/>
      <protection locked="0"/>
    </xf>
    <xf numFmtId="0" fontId="29" fillId="0" borderId="0" xfId="0" applyFont="1" applyAlignment="1" applyProtection="1">
      <alignment horizontal="centerContinuous"/>
      <protection locked="0"/>
    </xf>
    <xf numFmtId="0" fontId="3" fillId="0" borderId="22" xfId="0" applyFont="1" applyBorder="1" applyProtection="1">
      <protection locked="0"/>
    </xf>
    <xf numFmtId="0" fontId="16" fillId="0" borderId="23" xfId="0" applyFont="1" applyBorder="1" applyAlignment="1" applyProtection="1">
      <alignment vertical="center"/>
      <protection locked="0"/>
    </xf>
    <xf numFmtId="49" fontId="3" fillId="0" borderId="23" xfId="0" applyNumberFormat="1" applyFont="1" applyBorder="1" applyAlignment="1" applyProtection="1">
      <alignment horizontal="center" vertical="center"/>
      <protection locked="0"/>
    </xf>
    <xf numFmtId="4" fontId="3" fillId="0" borderId="23" xfId="0" applyNumberFormat="1" applyFont="1" applyBorder="1" applyAlignment="1" applyProtection="1">
      <alignment vertical="center"/>
    </xf>
    <xf numFmtId="0" fontId="16" fillId="0" borderId="33" xfId="0" applyFont="1" applyBorder="1" applyAlignment="1" applyProtection="1">
      <alignment vertical="center"/>
      <protection locked="0"/>
    </xf>
    <xf numFmtId="0" fontId="4" fillId="3" borderId="23" xfId="0" applyFont="1" applyFill="1" applyBorder="1" applyAlignment="1"/>
    <xf numFmtId="0" fontId="25" fillId="3" borderId="23" xfId="0" applyFont="1" applyFill="1" applyBorder="1" applyAlignment="1"/>
    <xf numFmtId="0" fontId="25" fillId="3" borderId="23" xfId="0" applyFont="1" applyFill="1" applyBorder="1" applyAlignment="1">
      <alignment horizontal="center" vertical="top"/>
    </xf>
    <xf numFmtId="0" fontId="25" fillId="3" borderId="23" xfId="0" applyFont="1" applyFill="1" applyBorder="1" applyAlignment="1">
      <alignment horizontal="center"/>
    </xf>
    <xf numFmtId="0" fontId="25" fillId="3" borderId="23" xfId="0" applyFont="1" applyFill="1" applyBorder="1" applyAlignment="1">
      <alignment horizontal="centerContinuous" vertical="top"/>
    </xf>
    <xf numFmtId="0" fontId="3" fillId="0" borderId="23" xfId="0" applyFont="1" applyBorder="1" applyAlignment="1" applyProtection="1">
      <alignment horizontal="center" vertical="center"/>
      <protection locked="0"/>
    </xf>
    <xf numFmtId="0" fontId="17" fillId="0" borderId="23" xfId="0" applyFont="1" applyBorder="1" applyAlignment="1" applyProtection="1">
      <alignment horizontal="center"/>
      <protection locked="0"/>
    </xf>
    <xf numFmtId="0" fontId="4" fillId="3" borderId="23" xfId="0" applyFont="1" applyFill="1" applyBorder="1" applyAlignment="1" applyProtection="1">
      <alignment horizontal="center" vertical="top"/>
      <protection locked="0"/>
    </xf>
    <xf numFmtId="0" fontId="25" fillId="3" borderId="23" xfId="0" applyFont="1" applyFill="1" applyBorder="1" applyAlignment="1" applyProtection="1">
      <alignment horizontal="centerContinuous"/>
      <protection locked="0"/>
    </xf>
    <xf numFmtId="0" fontId="25" fillId="3" borderId="23" xfId="0" applyFont="1" applyFill="1" applyBorder="1" applyAlignment="1" applyProtection="1">
      <alignment horizontal="center"/>
      <protection locked="0"/>
    </xf>
    <xf numFmtId="0" fontId="25" fillId="3" borderId="23" xfId="0" applyFont="1" applyFill="1" applyBorder="1" applyAlignment="1" applyProtection="1">
      <alignment horizontal="center" vertical="top"/>
      <protection locked="0"/>
    </xf>
    <xf numFmtId="0" fontId="25" fillId="3" borderId="23" xfId="0" applyFont="1" applyFill="1" applyBorder="1" applyAlignment="1" applyProtection="1">
      <alignment horizontal="centerContinuous" vertical="top"/>
      <protection locked="0"/>
    </xf>
    <xf numFmtId="0" fontId="25" fillId="3" borderId="23" xfId="0" applyFont="1" applyFill="1" applyBorder="1" applyAlignment="1" applyProtection="1">
      <alignment vertical="top"/>
      <protection locked="0"/>
    </xf>
    <xf numFmtId="0" fontId="25" fillId="3" borderId="23" xfId="0" applyFont="1" applyFill="1" applyBorder="1" applyAlignment="1" applyProtection="1">
      <alignment horizontal="center" vertical="center"/>
      <protection locked="0"/>
    </xf>
    <xf numFmtId="0" fontId="25" fillId="3" borderId="23" xfId="0" applyFont="1" applyFill="1" applyBorder="1" applyAlignment="1" applyProtection="1">
      <alignment horizontal="centerContinuous" vertical="center"/>
      <protection locked="0"/>
    </xf>
    <xf numFmtId="0" fontId="25" fillId="3" borderId="23" xfId="0" applyFont="1" applyFill="1" applyBorder="1" applyAlignment="1" applyProtection="1">
      <alignment horizontal="left" vertical="center"/>
      <protection locked="0"/>
    </xf>
    <xf numFmtId="0" fontId="25" fillId="3" borderId="23" xfId="0" applyFont="1" applyFill="1" applyBorder="1" applyAlignment="1" applyProtection="1">
      <protection locked="0"/>
    </xf>
    <xf numFmtId="0" fontId="25" fillId="3" borderId="23" xfId="0" applyFont="1" applyFill="1" applyBorder="1" applyAlignment="1" applyProtection="1">
      <alignment horizontal="left" vertical="top"/>
      <protection locked="0"/>
    </xf>
    <xf numFmtId="0" fontId="5" fillId="3" borderId="23" xfId="0" applyFont="1" applyFill="1" applyBorder="1" applyAlignment="1" applyProtection="1">
      <alignment horizontal="left" vertical="top"/>
      <protection locked="0"/>
    </xf>
    <xf numFmtId="0" fontId="13" fillId="0" borderId="23" xfId="0" applyFont="1" applyBorder="1" applyAlignment="1" applyProtection="1">
      <alignment horizontal="center"/>
      <protection locked="0"/>
    </xf>
    <xf numFmtId="4" fontId="14" fillId="0" borderId="23" xfId="0" applyNumberFormat="1" applyFont="1" applyBorder="1" applyAlignment="1" applyProtection="1">
      <protection locked="0"/>
    </xf>
    <xf numFmtId="0" fontId="27" fillId="0" borderId="16" xfId="0" applyFont="1" applyBorder="1" applyAlignment="1" applyProtection="1">
      <alignment horizontal="center"/>
      <protection locked="0"/>
    </xf>
    <xf numFmtId="0" fontId="35" fillId="0" borderId="16" xfId="0" applyFont="1" applyBorder="1" applyProtection="1">
      <protection locked="0"/>
    </xf>
    <xf numFmtId="0" fontId="0" fillId="0" borderId="16" xfId="0" applyBorder="1" applyProtection="1">
      <protection locked="0"/>
    </xf>
    <xf numFmtId="0" fontId="27" fillId="0" borderId="16" xfId="0" applyFont="1" applyBorder="1" applyAlignment="1" applyProtection="1">
      <alignment horizontal="centerContinuous"/>
      <protection locked="0"/>
    </xf>
    <xf numFmtId="0" fontId="31" fillId="0" borderId="0" xfId="0" applyFont="1" applyAlignment="1" applyProtection="1">
      <alignment horizontal="centerContinuous"/>
      <protection locked="0"/>
    </xf>
    <xf numFmtId="0" fontId="0" fillId="0" borderId="0" xfId="0" applyAlignment="1" applyProtection="1">
      <alignment horizontal="centerContinuous"/>
      <protection locked="0"/>
    </xf>
    <xf numFmtId="0" fontId="0" fillId="0" borderId="0" xfId="0" applyBorder="1" applyAlignment="1" applyProtection="1">
      <alignment horizontal="centerContinuous"/>
      <protection locked="0"/>
    </xf>
    <xf numFmtId="15" fontId="27" fillId="0" borderId="16" xfId="0" applyNumberFormat="1" applyFont="1" applyBorder="1" applyAlignment="1" applyProtection="1">
      <alignment horizontal="centerContinuous"/>
      <protection locked="0"/>
    </xf>
    <xf numFmtId="0" fontId="0" fillId="0" borderId="0" xfId="0" applyBorder="1" applyProtection="1">
      <protection locked="0"/>
    </xf>
    <xf numFmtId="0" fontId="33" fillId="0" borderId="0" xfId="0" applyFont="1" applyAlignment="1" applyProtection="1">
      <alignment horizontal="centerContinuous" vertical="top"/>
      <protection locked="0"/>
    </xf>
    <xf numFmtId="0" fontId="0" fillId="0" borderId="0" xfId="0" applyAlignment="1" applyProtection="1">
      <alignment horizontal="centerContinuous" vertical="top"/>
      <protection locked="0"/>
    </xf>
    <xf numFmtId="0" fontId="34" fillId="0" borderId="0" xfId="0" applyFont="1" applyAlignment="1" applyProtection="1">
      <alignment horizontal="centerContinuous"/>
      <protection locked="0"/>
    </xf>
    <xf numFmtId="0" fontId="32" fillId="0" borderId="0" xfId="0" applyFont="1" applyAlignment="1" applyProtection="1">
      <alignment horizontal="centerContinuous"/>
      <protection locked="0"/>
    </xf>
    <xf numFmtId="4" fontId="28" fillId="0" borderId="16" xfId="0" applyNumberFormat="1" applyFont="1" applyBorder="1" applyProtection="1">
      <protection locked="0"/>
    </xf>
    <xf numFmtId="0" fontId="3" fillId="0" borderId="0" xfId="0" applyFont="1" applyBorder="1" applyProtection="1">
      <protection locked="0"/>
    </xf>
    <xf numFmtId="0" fontId="30" fillId="0" borderId="0" xfId="0" applyFont="1" applyProtection="1">
      <protection locked="0"/>
    </xf>
    <xf numFmtId="0" fontId="60" fillId="0" borderId="23" xfId="0" applyFont="1" applyBorder="1"/>
    <xf numFmtId="0" fontId="38" fillId="0" borderId="23" xfId="0" applyFont="1" applyBorder="1" applyAlignment="1">
      <alignment horizontal="center"/>
    </xf>
    <xf numFmtId="4" fontId="38" fillId="0" borderId="23" xfId="0" applyNumberFormat="1" applyFont="1" applyBorder="1" applyAlignment="1">
      <alignment horizontal="right"/>
    </xf>
    <xf numFmtId="4" fontId="38" fillId="0" borderId="23" xfId="0" applyNumberFormat="1" applyFont="1" applyBorder="1"/>
    <xf numFmtId="0" fontId="38" fillId="0" borderId="23" xfId="0" applyFont="1" applyBorder="1"/>
    <xf numFmtId="3" fontId="60" fillId="0" borderId="23" xfId="0" applyNumberFormat="1" applyFont="1" applyBorder="1"/>
    <xf numFmtId="2" fontId="38" fillId="0" borderId="23" xfId="0" applyNumberFormat="1" applyFont="1" applyBorder="1"/>
    <xf numFmtId="0" fontId="56" fillId="0" borderId="23" xfId="0" applyFont="1" applyBorder="1"/>
    <xf numFmtId="1" fontId="56" fillId="0" borderId="23" xfId="0" applyNumberFormat="1" applyFont="1" applyBorder="1"/>
    <xf numFmtId="196" fontId="45" fillId="0" borderId="0" xfId="0" applyNumberFormat="1" applyFont="1" applyAlignment="1">
      <alignment horizontal="center"/>
    </xf>
    <xf numFmtId="197" fontId="40" fillId="0" borderId="16" xfId="0" quotePrefix="1" applyNumberFormat="1" applyFont="1" applyBorder="1" applyAlignment="1" applyProtection="1">
      <alignment horizontal="centerContinuous"/>
      <protection locked="0"/>
    </xf>
    <xf numFmtId="0" fontId="7" fillId="0" borderId="9" xfId="0" applyFont="1" applyBorder="1" applyProtection="1">
      <protection locked="0"/>
    </xf>
    <xf numFmtId="0" fontId="18" fillId="0" borderId="0" xfId="0" applyFont="1" applyAlignment="1" applyProtection="1">
      <alignment vertical="top"/>
      <protection locked="0"/>
    </xf>
    <xf numFmtId="198" fontId="40" fillId="0" borderId="16" xfId="0" quotePrefix="1" applyNumberFormat="1" applyFont="1" applyBorder="1" applyAlignment="1" applyProtection="1">
      <alignment horizontal="centerContinuous"/>
      <protection locked="0"/>
    </xf>
    <xf numFmtId="3" fontId="0" fillId="3" borderId="29" xfId="0" applyNumberFormat="1" applyFill="1" applyBorder="1"/>
    <xf numFmtId="3" fontId="3" fillId="0" borderId="29" xfId="0" applyNumberFormat="1" applyFont="1" applyBorder="1" applyAlignment="1" applyProtection="1">
      <alignment vertical="center"/>
    </xf>
    <xf numFmtId="3" fontId="3" fillId="3" borderId="29" xfId="0" applyNumberFormat="1" applyFont="1" applyFill="1" applyBorder="1" applyAlignment="1">
      <alignment vertical="center"/>
    </xf>
    <xf numFmtId="3" fontId="0" fillId="0" borderId="0" xfId="0" applyNumberFormat="1" applyAlignment="1">
      <alignment horizontal="centerContinuous"/>
    </xf>
    <xf numFmtId="3" fontId="0" fillId="0" borderId="0" xfId="0" applyNumberFormat="1"/>
    <xf numFmtId="0" fontId="4" fillId="3" borderId="1" xfId="0" applyFont="1" applyFill="1" applyBorder="1" applyAlignment="1">
      <alignment horizontal="center" vertical="center" wrapText="1" shrinkToFit="1"/>
    </xf>
    <xf numFmtId="0" fontId="45" fillId="2" borderId="23" xfId="0" applyFont="1" applyFill="1" applyBorder="1" applyAlignment="1">
      <alignment horizontal="center" vertical="center"/>
    </xf>
    <xf numFmtId="0" fontId="57" fillId="0" borderId="23" xfId="0" applyFont="1" applyBorder="1" applyAlignment="1">
      <alignment horizontal="center" vertical="center"/>
    </xf>
    <xf numFmtId="0" fontId="45" fillId="2" borderId="23" xfId="0" applyFont="1" applyFill="1" applyBorder="1" applyAlignment="1">
      <alignment horizontal="center" vertical="center" wrapText="1" shrinkToFit="1"/>
    </xf>
    <xf numFmtId="0" fontId="50" fillId="0" borderId="0" xfId="0" applyFont="1" applyBorder="1" applyAlignment="1">
      <alignment horizontal="center"/>
    </xf>
    <xf numFmtId="4" fontId="3" fillId="0" borderId="33" xfId="0" applyNumberFormat="1" applyFont="1" applyBorder="1" applyAlignment="1" applyProtection="1">
      <alignment vertical="center"/>
    </xf>
    <xf numFmtId="4" fontId="3" fillId="0" borderId="33" xfId="0" applyNumberFormat="1" applyFont="1" applyBorder="1" applyAlignment="1" applyProtection="1">
      <alignment vertical="center"/>
      <protection locked="0"/>
    </xf>
    <xf numFmtId="4" fontId="3" fillId="0" borderId="34" xfId="0" applyNumberFormat="1" applyFont="1" applyBorder="1" applyAlignment="1" applyProtection="1">
      <alignment vertical="center"/>
      <protection locked="0"/>
    </xf>
    <xf numFmtId="4" fontId="3" fillId="0" borderId="23" xfId="0" applyNumberFormat="1" applyFont="1" applyBorder="1" applyAlignment="1" applyProtection="1">
      <alignment vertical="center"/>
      <protection locked="0"/>
    </xf>
    <xf numFmtId="4" fontId="3" fillId="0" borderId="23" xfId="0" applyNumberFormat="1" applyFont="1" applyBorder="1" applyAlignment="1" applyProtection="1">
      <alignment horizontal="center" vertical="center"/>
      <protection locked="0"/>
    </xf>
    <xf numFmtId="4" fontId="3" fillId="0" borderId="34" xfId="0" applyNumberFormat="1" applyFont="1" applyBorder="1" applyAlignment="1" applyProtection="1">
      <alignment vertical="center"/>
    </xf>
    <xf numFmtId="0" fontId="2" fillId="2" borderId="23" xfId="0" applyFont="1" applyFill="1" applyBorder="1" applyAlignment="1">
      <alignment horizontal="center" vertical="center" wrapText="1" shrinkToFit="1"/>
    </xf>
    <xf numFmtId="4" fontId="9" fillId="0" borderId="23" xfId="0" applyNumberFormat="1" applyFont="1" applyBorder="1" applyAlignment="1">
      <alignment horizontal="right"/>
    </xf>
    <xf numFmtId="0" fontId="61" fillId="2" borderId="23" xfId="0" applyFont="1" applyFill="1" applyBorder="1" applyAlignment="1">
      <alignment horizontal="center" vertical="center"/>
    </xf>
    <xf numFmtId="4" fontId="62" fillId="0" borderId="23" xfId="0" applyNumberFormat="1" applyFont="1" applyBorder="1" applyAlignment="1"/>
    <xf numFmtId="4" fontId="62" fillId="0" borderId="23" xfId="0" applyNumberFormat="1" applyFont="1" applyBorder="1"/>
    <xf numFmtId="0" fontId="3" fillId="3" borderId="26" xfId="0" applyFont="1" applyFill="1" applyBorder="1" applyAlignment="1">
      <alignment horizontal="center" vertical="top" shrinkToFit="1"/>
    </xf>
    <xf numFmtId="0" fontId="3" fillId="3" borderId="27" xfId="0" applyFont="1" applyFill="1" applyBorder="1" applyAlignment="1">
      <alignment shrinkToFit="1"/>
    </xf>
    <xf numFmtId="0" fontId="3" fillId="3" borderId="28" xfId="0" applyFont="1" applyFill="1" applyBorder="1" applyAlignment="1">
      <alignment shrinkToFit="1"/>
    </xf>
    <xf numFmtId="0" fontId="3" fillId="3" borderId="28" xfId="0" applyFont="1" applyFill="1" applyBorder="1" applyAlignment="1">
      <alignment horizontal="center" shrinkToFit="1"/>
    </xf>
    <xf numFmtId="0" fontId="4" fillId="3" borderId="1" xfId="0" applyFont="1" applyFill="1" applyBorder="1" applyAlignment="1">
      <alignment horizontal="center" vertical="center" shrinkToFit="1"/>
    </xf>
    <xf numFmtId="0" fontId="4" fillId="3" borderId="26" xfId="0" applyFont="1" applyFill="1" applyBorder="1" applyAlignment="1">
      <alignment horizontal="center" vertical="center" shrinkToFit="1"/>
    </xf>
    <xf numFmtId="0" fontId="43" fillId="3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Continuous" shrinkToFit="1"/>
    </xf>
    <xf numFmtId="0" fontId="0" fillId="0" borderId="0" xfId="0" applyAlignment="1">
      <alignment shrinkToFit="1"/>
    </xf>
    <xf numFmtId="3" fontId="1" fillId="3" borderId="30" xfId="0" applyNumberFormat="1" applyFont="1" applyFill="1" applyBorder="1" applyAlignment="1"/>
    <xf numFmtId="3" fontId="1" fillId="3" borderId="31" xfId="0" applyNumberFormat="1" applyFont="1" applyFill="1" applyBorder="1" applyAlignment="1"/>
    <xf numFmtId="3" fontId="1" fillId="3" borderId="32" xfId="0" applyNumberFormat="1" applyFont="1" applyFill="1" applyBorder="1" applyAlignment="1"/>
    <xf numFmtId="14" fontId="7" fillId="0" borderId="9" xfId="0" applyNumberFormat="1" applyFont="1" applyBorder="1" applyProtection="1">
      <protection locked="0"/>
    </xf>
    <xf numFmtId="0" fontId="4" fillId="3" borderId="1" xfId="0" applyNumberFormat="1" applyFont="1" applyFill="1" applyBorder="1" applyAlignment="1">
      <alignment horizontal="center" vertical="center"/>
    </xf>
    <xf numFmtId="4" fontId="14" fillId="0" borderId="0" xfId="0" applyNumberFormat="1" applyFont="1" applyBorder="1" applyAlignment="1" applyProtection="1">
      <protection locked="0"/>
    </xf>
    <xf numFmtId="4" fontId="0" fillId="0" borderId="0" xfId="0" applyNumberFormat="1" applyBorder="1"/>
    <xf numFmtId="4" fontId="3" fillId="0" borderId="22" xfId="0" applyNumberFormat="1" applyFont="1" applyBorder="1"/>
    <xf numFmtId="4" fontId="3" fillId="0" borderId="35" xfId="0" applyNumberFormat="1" applyFont="1" applyBorder="1" applyAlignment="1" applyProtection="1">
      <alignment vertical="center"/>
    </xf>
    <xf numFmtId="0" fontId="25" fillId="3" borderId="36" xfId="0" applyFont="1" applyFill="1" applyBorder="1" applyAlignment="1" applyProtection="1">
      <alignment horizontal="left" vertical="center"/>
      <protection locked="0"/>
    </xf>
    <xf numFmtId="0" fontId="5" fillId="3" borderId="37" xfId="0" applyFont="1" applyFill="1" applyBorder="1" applyAlignment="1">
      <alignment horizontal="left" vertical="center"/>
    </xf>
    <xf numFmtId="0" fontId="5" fillId="3" borderId="37" xfId="0" applyFont="1" applyFill="1" applyBorder="1" applyAlignment="1" applyProtection="1">
      <alignment horizontal="left" vertical="center"/>
      <protection locked="0"/>
    </xf>
    <xf numFmtId="0" fontId="4" fillId="3" borderId="23" xfId="0" applyNumberFormat="1" applyFont="1" applyFill="1" applyBorder="1" applyAlignment="1">
      <alignment horizontal="center" vertical="center"/>
    </xf>
    <xf numFmtId="0" fontId="63" fillId="0" borderId="3" xfId="0" applyFont="1" applyBorder="1"/>
    <xf numFmtId="0" fontId="2" fillId="0" borderId="0" xfId="0" applyFont="1" applyBorder="1"/>
    <xf numFmtId="0" fontId="42" fillId="0" borderId="0" xfId="0" applyFont="1" applyBorder="1"/>
    <xf numFmtId="2" fontId="2" fillId="0" borderId="23" xfId="0" applyNumberFormat="1" applyFont="1" applyBorder="1" applyAlignment="1" applyProtection="1">
      <alignment horizontal="center" wrapText="1" shrinkToFit="1"/>
      <protection locked="0"/>
    </xf>
    <xf numFmtId="2" fontId="2" fillId="0" borderId="23" xfId="0" applyNumberFormat="1" applyFont="1" applyBorder="1" applyAlignment="1">
      <alignment horizontal="center" wrapText="1" shrinkToFit="1"/>
    </xf>
    <xf numFmtId="4" fontId="0" fillId="0" borderId="23" xfId="0" applyNumberFormat="1" applyBorder="1"/>
    <xf numFmtId="4" fontId="14" fillId="0" borderId="23" xfId="0" applyNumberFormat="1" applyFont="1" applyBorder="1" applyAlignment="1" applyProtection="1"/>
    <xf numFmtId="0" fontId="23" fillId="0" borderId="23" xfId="0" applyFont="1" applyBorder="1" applyAlignment="1" applyProtection="1">
      <alignment horizontal="center"/>
    </xf>
    <xf numFmtId="0" fontId="23" fillId="0" borderId="33" xfId="0" applyFont="1" applyBorder="1" applyAlignment="1" applyProtection="1">
      <alignment horizontal="center"/>
    </xf>
    <xf numFmtId="2" fontId="56" fillId="0" borderId="38" xfId="0" applyNumberFormat="1" applyFont="1" applyBorder="1" applyProtection="1">
      <protection locked="0"/>
    </xf>
    <xf numFmtId="0" fontId="35" fillId="0" borderId="38" xfId="0" applyFont="1" applyBorder="1" applyProtection="1">
      <protection locked="0"/>
    </xf>
    <xf numFmtId="4" fontId="27" fillId="0" borderId="38" xfId="0" applyNumberFormat="1" applyFont="1" applyBorder="1" applyProtection="1">
      <protection locked="0"/>
    </xf>
    <xf numFmtId="0" fontId="0" fillId="0" borderId="38" xfId="0" applyBorder="1" applyProtection="1">
      <protection locked="0"/>
    </xf>
    <xf numFmtId="2" fontId="3" fillId="0" borderId="0" xfId="0" applyNumberFormat="1" applyFont="1"/>
    <xf numFmtId="4" fontId="3" fillId="0" borderId="0" xfId="0" applyNumberFormat="1" applyFont="1"/>
    <xf numFmtId="0" fontId="50" fillId="0" borderId="23" xfId="0" applyFont="1" applyBorder="1" applyAlignment="1">
      <alignment horizontal="center" vertical="center" wrapText="1" shrinkToFit="1"/>
    </xf>
    <xf numFmtId="4" fontId="3" fillId="0" borderId="29" xfId="0" applyNumberFormat="1" applyFont="1" applyBorder="1" applyAlignment="1" applyProtection="1">
      <alignment vertical="center"/>
    </xf>
    <xf numFmtId="0" fontId="6" fillId="0" borderId="4" xfId="0" applyFont="1" applyBorder="1" applyAlignment="1" applyProtection="1">
      <alignment horizontal="center"/>
      <protection locked="0"/>
    </xf>
    <xf numFmtId="0" fontId="6" fillId="0" borderId="39" xfId="0" applyFont="1" applyBorder="1" applyAlignment="1" applyProtection="1">
      <alignment horizontal="center"/>
      <protection locked="0"/>
    </xf>
    <xf numFmtId="0" fontId="6" fillId="0" borderId="40" xfId="0" applyFont="1" applyBorder="1" applyAlignment="1" applyProtection="1">
      <alignment horizontal="center"/>
      <protection locked="0"/>
    </xf>
    <xf numFmtId="4" fontId="3" fillId="4" borderId="33" xfId="0" applyNumberFormat="1" applyFont="1" applyFill="1" applyBorder="1" applyAlignment="1" applyProtection="1">
      <alignment vertical="center"/>
      <protection locked="0"/>
    </xf>
    <xf numFmtId="4" fontId="3" fillId="4" borderId="23" xfId="0" applyNumberFormat="1" applyFont="1" applyFill="1" applyBorder="1" applyAlignment="1" applyProtection="1">
      <alignment vertical="center"/>
      <protection locked="0"/>
    </xf>
    <xf numFmtId="4" fontId="3" fillId="4" borderId="23" xfId="0" applyNumberFormat="1" applyFont="1" applyFill="1" applyBorder="1" applyAlignment="1">
      <alignment vertical="center"/>
    </xf>
    <xf numFmtId="0" fontId="25" fillId="5" borderId="23" xfId="0" applyFont="1" applyFill="1" applyBorder="1" applyAlignment="1" applyProtection="1">
      <alignment horizontal="centerContinuous" vertical="justify"/>
      <protection locked="0"/>
    </xf>
    <xf numFmtId="0" fontId="25" fillId="5" borderId="23" xfId="0" applyFont="1" applyFill="1" applyBorder="1" applyAlignment="1" applyProtection="1">
      <alignment horizontal="center" vertical="top"/>
      <protection locked="0"/>
    </xf>
    <xf numFmtId="0" fontId="25" fillId="5" borderId="23" xfId="0" applyFont="1" applyFill="1" applyBorder="1" applyAlignment="1" applyProtection="1">
      <alignment horizontal="center" vertical="center"/>
      <protection locked="0"/>
    </xf>
    <xf numFmtId="0" fontId="25" fillId="5" borderId="23" xfId="0" applyFont="1" applyFill="1" applyBorder="1" applyAlignment="1" applyProtection="1">
      <alignment horizontal="centerContinuous" vertical="top"/>
      <protection locked="0"/>
    </xf>
    <xf numFmtId="4" fontId="14" fillId="5" borderId="23" xfId="0" applyNumberFormat="1" applyFont="1" applyFill="1" applyBorder="1" applyAlignment="1" applyProtection="1">
      <protection locked="0"/>
    </xf>
    <xf numFmtId="3" fontId="14" fillId="5" borderId="23" xfId="0" applyNumberFormat="1" applyFont="1" applyFill="1" applyBorder="1" applyAlignment="1" applyProtection="1">
      <protection locked="0"/>
    </xf>
    <xf numFmtId="0" fontId="3" fillId="0" borderId="33" xfId="0" applyNumberFormat="1" applyFont="1" applyBorder="1" applyAlignment="1" applyProtection="1">
      <alignment vertical="center"/>
      <protection locked="0"/>
    </xf>
    <xf numFmtId="0" fontId="3" fillId="0" borderId="23" xfId="0" applyNumberFormat="1" applyFont="1" applyBorder="1" applyAlignment="1" applyProtection="1">
      <alignment vertical="center"/>
      <protection locked="0"/>
    </xf>
    <xf numFmtId="0" fontId="3" fillId="0" borderId="23" xfId="0" applyNumberFormat="1" applyFont="1" applyBorder="1" applyAlignment="1" applyProtection="1">
      <alignment vertical="center"/>
    </xf>
    <xf numFmtId="4" fontId="14" fillId="6" borderId="23" xfId="0" applyNumberFormat="1" applyFont="1" applyFill="1" applyBorder="1" applyAlignment="1" applyProtection="1">
      <protection locked="0"/>
    </xf>
    <xf numFmtId="4" fontId="14" fillId="0" borderId="23" xfId="0" applyNumberFormat="1" applyFont="1" applyFill="1" applyBorder="1" applyAlignment="1" applyProtection="1"/>
    <xf numFmtId="4" fontId="14" fillId="0" borderId="23" xfId="0" applyNumberFormat="1" applyFont="1" applyFill="1" applyBorder="1" applyAlignment="1" applyProtection="1">
      <protection locked="0"/>
    </xf>
    <xf numFmtId="0" fontId="0" fillId="0" borderId="9" xfId="0" applyBorder="1" applyProtection="1">
      <protection locked="0"/>
    </xf>
    <xf numFmtId="2" fontId="9" fillId="0" borderId="0" xfId="0" applyNumberFormat="1" applyFont="1" applyAlignment="1" applyProtection="1">
      <alignment horizontal="center"/>
      <protection locked="0"/>
    </xf>
    <xf numFmtId="1" fontId="3" fillId="5" borderId="33" xfId="0" applyNumberFormat="1" applyFont="1" applyFill="1" applyBorder="1" applyAlignment="1" applyProtection="1">
      <alignment horizontal="center" vertical="center"/>
      <protection locked="0"/>
    </xf>
    <xf numFmtId="1" fontId="3" fillId="5" borderId="23" xfId="0" applyNumberFormat="1" applyFont="1" applyFill="1" applyBorder="1" applyAlignment="1" applyProtection="1">
      <alignment horizontal="center" vertical="center"/>
      <protection locked="0"/>
    </xf>
    <xf numFmtId="0" fontId="64" fillId="0" borderId="0" xfId="0" applyFont="1" applyProtection="1">
      <protection locked="0"/>
    </xf>
    <xf numFmtId="186" fontId="65" fillId="4" borderId="23" xfId="0" applyNumberFormat="1" applyFont="1" applyFill="1" applyBorder="1" applyProtection="1">
      <protection locked="0"/>
    </xf>
    <xf numFmtId="0" fontId="14" fillId="0" borderId="0" xfId="0" applyFont="1" applyProtection="1">
      <protection locked="0"/>
    </xf>
    <xf numFmtId="0" fontId="42" fillId="0" borderId="0" xfId="0" applyFont="1" applyAlignment="1" applyProtection="1">
      <alignment horizontal="right"/>
      <protection locked="0"/>
    </xf>
    <xf numFmtId="0" fontId="14" fillId="0" borderId="0" xfId="0" quotePrefix="1" applyFont="1" applyAlignment="1" applyProtection="1">
      <alignment horizontal="right"/>
      <protection locked="0"/>
    </xf>
    <xf numFmtId="0" fontId="14" fillId="0" borderId="0" xfId="0" applyFont="1" applyAlignment="1" applyProtection="1">
      <alignment horizontal="right"/>
      <protection locked="0"/>
    </xf>
    <xf numFmtId="0" fontId="9" fillId="0" borderId="0" xfId="0" applyNumberFormat="1" applyFont="1" applyAlignment="1" applyProtection="1">
      <alignment horizontal="center"/>
      <protection locked="0"/>
    </xf>
    <xf numFmtId="2" fontId="3" fillId="0" borderId="29" xfId="0" applyNumberFormat="1" applyFont="1" applyBorder="1" applyAlignment="1" applyProtection="1">
      <alignment vertical="center"/>
    </xf>
    <xf numFmtId="4" fontId="3" fillId="3" borderId="29" xfId="0" applyNumberFormat="1" applyFont="1" applyFill="1" applyBorder="1" applyAlignment="1">
      <alignment vertical="center"/>
    </xf>
    <xf numFmtId="39" fontId="3" fillId="0" borderId="29" xfId="0" applyNumberFormat="1" applyFont="1" applyBorder="1" applyAlignment="1" applyProtection="1">
      <alignment vertical="center"/>
    </xf>
    <xf numFmtId="206" fontId="3" fillId="0" borderId="33" xfId="0" applyNumberFormat="1" applyFont="1" applyBorder="1" applyAlignment="1">
      <alignment vertical="center"/>
    </xf>
    <xf numFmtId="206" fontId="3" fillId="0" borderId="23" xfId="0" applyNumberFormat="1" applyFont="1" applyBorder="1" applyAlignment="1">
      <alignment vertical="center"/>
    </xf>
    <xf numFmtId="207" fontId="3" fillId="4" borderId="33" xfId="0" applyNumberFormat="1" applyFont="1" applyFill="1" applyBorder="1" applyAlignment="1" applyProtection="1">
      <alignment vertical="center"/>
      <protection locked="0"/>
    </xf>
    <xf numFmtId="207" fontId="3" fillId="4" borderId="23" xfId="0" applyNumberFormat="1" applyFont="1" applyFill="1" applyBorder="1" applyAlignment="1" applyProtection="1">
      <alignment vertical="center"/>
      <protection locked="0"/>
    </xf>
    <xf numFmtId="207" fontId="3" fillId="4" borderId="23" xfId="0" applyNumberFormat="1" applyFont="1" applyFill="1" applyBorder="1" applyAlignment="1">
      <alignment vertical="center"/>
    </xf>
    <xf numFmtId="14" fontId="27" fillId="0" borderId="0" xfId="0" applyNumberFormat="1" applyFont="1" applyBorder="1" applyAlignment="1" applyProtection="1">
      <protection locked="0"/>
    </xf>
    <xf numFmtId="14" fontId="9" fillId="0" borderId="0" xfId="0" applyNumberFormat="1" applyFont="1" applyBorder="1" applyAlignment="1" applyProtection="1">
      <alignment horizontal="center"/>
      <protection locked="0"/>
    </xf>
    <xf numFmtId="49" fontId="28" fillId="0" borderId="0" xfId="0" applyNumberFormat="1" applyFont="1" applyBorder="1" applyAlignment="1" applyProtection="1">
      <alignment horizontal="center"/>
      <protection locked="0"/>
    </xf>
    <xf numFmtId="3" fontId="28" fillId="0" borderId="0" xfId="0" applyNumberFormat="1" applyFont="1" applyBorder="1" applyProtection="1">
      <protection locked="0"/>
    </xf>
    <xf numFmtId="0" fontId="3" fillId="0" borderId="0" xfId="0" applyFont="1" applyBorder="1" applyAlignment="1" applyProtection="1">
      <alignment horizontal="centerContinuous"/>
      <protection locked="0"/>
    </xf>
    <xf numFmtId="0" fontId="6" fillId="0" borderId="19" xfId="0" applyFont="1" applyBorder="1"/>
    <xf numFmtId="0" fontId="3" fillId="0" borderId="19" xfId="0" applyFont="1" applyBorder="1"/>
    <xf numFmtId="0" fontId="0" fillId="0" borderId="19" xfId="0" applyBorder="1"/>
    <xf numFmtId="0" fontId="30" fillId="0" borderId="19" xfId="0" applyFont="1" applyBorder="1"/>
    <xf numFmtId="4" fontId="9" fillId="0" borderId="16" xfId="0" applyNumberFormat="1" applyFont="1" applyBorder="1"/>
    <xf numFmtId="0" fontId="26" fillId="0" borderId="41" xfId="0" applyFont="1" applyBorder="1" applyProtection="1">
      <protection locked="0"/>
    </xf>
    <xf numFmtId="0" fontId="3" fillId="0" borderId="41" xfId="0" applyFont="1" applyBorder="1" applyProtection="1">
      <protection locked="0"/>
    </xf>
    <xf numFmtId="0" fontId="16" fillId="0" borderId="0" xfId="0" applyFont="1" applyBorder="1" applyAlignment="1" applyProtection="1">
      <alignment horizontal="left"/>
      <protection locked="0"/>
    </xf>
    <xf numFmtId="0" fontId="16" fillId="0" borderId="0" xfId="0" applyFont="1" applyBorder="1" applyProtection="1">
      <protection locked="0"/>
    </xf>
    <xf numFmtId="0" fontId="3" fillId="0" borderId="0" xfId="0" applyFont="1" applyBorder="1" applyAlignment="1" applyProtection="1">
      <alignment horizontal="center"/>
      <protection locked="0"/>
    </xf>
    <xf numFmtId="0" fontId="16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Continuous"/>
    </xf>
    <xf numFmtId="0" fontId="16" fillId="0" borderId="0" xfId="0" applyFont="1" applyBorder="1"/>
    <xf numFmtId="0" fontId="16" fillId="0" borderId="0" xfId="0" applyFont="1" applyBorder="1" applyAlignment="1">
      <alignment horizontal="centerContinuous"/>
    </xf>
    <xf numFmtId="0" fontId="29" fillId="0" borderId="0" xfId="0" applyFont="1" applyBorder="1" applyAlignment="1">
      <alignment horizontal="centerContinuous"/>
    </xf>
    <xf numFmtId="0" fontId="16" fillId="0" borderId="3" xfId="0" applyFont="1" applyBorder="1"/>
    <xf numFmtId="4" fontId="28" fillId="0" borderId="3" xfId="0" applyNumberFormat="1" applyFont="1" applyBorder="1"/>
    <xf numFmtId="4" fontId="27" fillId="0" borderId="19" xfId="0" applyNumberFormat="1" applyFont="1" applyBorder="1"/>
    <xf numFmtId="0" fontId="26" fillId="0" borderId="41" xfId="0" applyFont="1" applyBorder="1"/>
    <xf numFmtId="0" fontId="3" fillId="0" borderId="41" xfId="0" applyFont="1" applyBorder="1"/>
    <xf numFmtId="2" fontId="3" fillId="0" borderId="3" xfId="0" applyNumberFormat="1" applyFont="1" applyBorder="1"/>
    <xf numFmtId="4" fontId="28" fillId="0" borderId="0" xfId="0" applyNumberFormat="1" applyFont="1" applyBorder="1" applyProtection="1">
      <protection locked="0"/>
    </xf>
    <xf numFmtId="4" fontId="28" fillId="0" borderId="19" xfId="0" applyNumberFormat="1" applyFont="1" applyBorder="1" applyProtection="1">
      <protection locked="0"/>
    </xf>
    <xf numFmtId="0" fontId="16" fillId="0" borderId="19" xfId="0" applyFont="1" applyBorder="1" applyProtection="1">
      <protection locked="0"/>
    </xf>
    <xf numFmtId="0" fontId="6" fillId="0" borderId="0" xfId="0" applyFont="1" applyBorder="1"/>
    <xf numFmtId="0" fontId="30" fillId="0" borderId="0" xfId="0" applyFont="1" applyBorder="1"/>
    <xf numFmtId="4" fontId="27" fillId="0" borderId="0" xfId="0" applyNumberFormat="1" applyFont="1" applyBorder="1"/>
    <xf numFmtId="0" fontId="28" fillId="0" borderId="19" xfId="0" applyFont="1" applyBorder="1" applyProtection="1">
      <protection locked="0"/>
    </xf>
    <xf numFmtId="0" fontId="68" fillId="0" borderId="19" xfId="0" applyFont="1" applyBorder="1" applyProtection="1">
      <protection locked="0"/>
    </xf>
    <xf numFmtId="4" fontId="35" fillId="0" borderId="0" xfId="0" applyNumberFormat="1" applyFont="1" applyBorder="1"/>
    <xf numFmtId="0" fontId="30" fillId="0" borderId="3" xfId="0" applyFont="1" applyBorder="1" applyProtection="1">
      <protection locked="0"/>
    </xf>
    <xf numFmtId="4" fontId="6" fillId="0" borderId="19" xfId="0" applyNumberFormat="1" applyFont="1" applyBorder="1" applyProtection="1">
      <protection locked="0"/>
    </xf>
    <xf numFmtId="4" fontId="28" fillId="0" borderId="3" xfId="0" applyNumberFormat="1" applyFont="1" applyBorder="1" applyProtection="1">
      <protection locked="0"/>
    </xf>
    <xf numFmtId="0" fontId="44" fillId="0" borderId="0" xfId="0" applyFont="1"/>
    <xf numFmtId="0" fontId="44" fillId="0" borderId="0" xfId="0" applyFont="1" applyProtection="1">
      <protection locked="0"/>
    </xf>
    <xf numFmtId="0" fontId="44" fillId="0" borderId="1" xfId="0" applyFont="1" applyBorder="1" applyProtection="1">
      <protection locked="0"/>
    </xf>
    <xf numFmtId="0" fontId="23" fillId="0" borderId="36" xfId="0" applyFont="1" applyBorder="1" applyAlignment="1" applyProtection="1">
      <alignment horizontal="left"/>
    </xf>
    <xf numFmtId="0" fontId="23" fillId="0" borderId="37" xfId="0" applyFont="1" applyBorder="1" applyAlignment="1" applyProtection="1">
      <alignment horizontal="left"/>
    </xf>
    <xf numFmtId="0" fontId="16" fillId="0" borderId="23" xfId="0" applyFont="1" applyBorder="1" applyAlignment="1"/>
    <xf numFmtId="0" fontId="2" fillId="0" borderId="42" xfId="0" applyFont="1" applyBorder="1" applyAlignment="1"/>
    <xf numFmtId="3" fontId="16" fillId="3" borderId="19" xfId="0" applyNumberFormat="1" applyFont="1" applyFill="1" applyBorder="1" applyAlignment="1">
      <alignment horizontal="center"/>
    </xf>
    <xf numFmtId="3" fontId="16" fillId="3" borderId="37" xfId="0" applyNumberFormat="1" applyFont="1" applyFill="1" applyBorder="1" applyAlignment="1">
      <alignment horizontal="center"/>
    </xf>
    <xf numFmtId="0" fontId="25" fillId="3" borderId="36" xfId="0" applyFont="1" applyFill="1" applyBorder="1" applyAlignment="1">
      <alignment horizontal="center"/>
    </xf>
    <xf numFmtId="0" fontId="25" fillId="3" borderId="19" xfId="0" applyFont="1" applyFill="1" applyBorder="1" applyAlignment="1">
      <alignment horizontal="center"/>
    </xf>
    <xf numFmtId="0" fontId="27" fillId="5" borderId="23" xfId="0" applyFont="1" applyFill="1" applyBorder="1" applyAlignment="1" applyProtection="1">
      <alignment horizontal="left"/>
      <protection locked="0"/>
    </xf>
    <xf numFmtId="0" fontId="23" fillId="0" borderId="23" xfId="0" applyFont="1" applyBorder="1" applyAlignment="1" applyProtection="1">
      <alignment horizontal="left"/>
    </xf>
    <xf numFmtId="0" fontId="35" fillId="5" borderId="23" xfId="0" applyFont="1" applyFill="1" applyBorder="1" applyAlignment="1" applyProtection="1">
      <alignment horizontal="left"/>
      <protection locked="0"/>
    </xf>
    <xf numFmtId="0" fontId="0" fillId="0" borderId="42" xfId="0" applyBorder="1" applyAlignment="1"/>
    <xf numFmtId="0" fontId="3" fillId="0" borderId="39" xfId="0" applyFont="1" applyBorder="1" applyAlignment="1" applyProtection="1">
      <alignment horizontal="left"/>
      <protection locked="0"/>
    </xf>
    <xf numFmtId="0" fontId="0" fillId="0" borderId="19" xfId="0" applyBorder="1" applyAlignment="1"/>
    <xf numFmtId="0" fontId="0" fillId="0" borderId="20" xfId="0" applyBorder="1" applyAlignment="1"/>
    <xf numFmtId="0" fontId="3" fillId="0" borderId="4" xfId="0" applyFont="1" applyBorder="1" applyAlignment="1" applyProtection="1"/>
    <xf numFmtId="0" fontId="0" fillId="0" borderId="5" xfId="0" applyBorder="1" applyAlignment="1"/>
    <xf numFmtId="0" fontId="0" fillId="0" borderId="7" xfId="0" applyBorder="1" applyAlignment="1"/>
    <xf numFmtId="0" fontId="16" fillId="0" borderId="33" xfId="0" applyFont="1" applyBorder="1" applyAlignment="1"/>
    <xf numFmtId="0" fontId="2" fillId="0" borderId="44" xfId="0" applyFont="1" applyBorder="1" applyAlignment="1"/>
    <xf numFmtId="0" fontId="4" fillId="3" borderId="26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9" xfId="0" applyFont="1" applyBorder="1" applyAlignment="1" applyProtection="1"/>
    <xf numFmtId="0" fontId="4" fillId="3" borderId="1" xfId="0" applyFont="1" applyFill="1" applyBorder="1" applyAlignment="1">
      <alignment horizontal="center" vertical="center" shrinkToFit="1"/>
    </xf>
    <xf numFmtId="0" fontId="0" fillId="0" borderId="26" xfId="0" applyBorder="1" applyAlignment="1"/>
    <xf numFmtId="0" fontId="0" fillId="0" borderId="2" xfId="0" applyBorder="1" applyAlignment="1"/>
    <xf numFmtId="0" fontId="4" fillId="3" borderId="1" xfId="0" applyNumberFormat="1" applyFont="1" applyFill="1" applyBorder="1" applyAlignment="1">
      <alignment horizontal="center" vertical="center"/>
    </xf>
    <xf numFmtId="0" fontId="4" fillId="3" borderId="26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 shrinkToFit="1"/>
    </xf>
    <xf numFmtId="0" fontId="3" fillId="3" borderId="26" xfId="0" applyFont="1" applyFill="1" applyBorder="1" applyAlignment="1">
      <alignment horizontal="center" vertical="center" wrapText="1" shrinkToFit="1"/>
    </xf>
    <xf numFmtId="0" fontId="3" fillId="3" borderId="2" xfId="0" applyFont="1" applyFill="1" applyBorder="1" applyAlignment="1">
      <alignment horizontal="center" vertical="center" wrapText="1" shrinkToFi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 shrinkToFit="1"/>
    </xf>
    <xf numFmtId="0" fontId="4" fillId="3" borderId="26" xfId="0" applyFont="1" applyFill="1" applyBorder="1" applyAlignment="1">
      <alignment horizontal="center" vertical="center" wrapText="1" shrinkToFit="1"/>
    </xf>
    <xf numFmtId="0" fontId="3" fillId="3" borderId="24" xfId="0" applyFont="1" applyFill="1" applyBorder="1" applyAlignment="1">
      <alignment horizontal="center"/>
    </xf>
    <xf numFmtId="0" fontId="3" fillId="3" borderId="43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" xfId="0" applyNumberFormat="1" applyFont="1" applyFill="1" applyBorder="1" applyAlignment="1">
      <alignment horizontal="center" vertical="center" wrapText="1" shrinkToFit="1"/>
    </xf>
    <xf numFmtId="0" fontId="3" fillId="3" borderId="26" xfId="0" applyNumberFormat="1" applyFont="1" applyFill="1" applyBorder="1" applyAlignment="1">
      <alignment horizontal="center" vertical="center" wrapText="1" shrinkToFit="1"/>
    </xf>
    <xf numFmtId="0" fontId="3" fillId="3" borderId="2" xfId="0" applyNumberFormat="1" applyFont="1" applyFill="1" applyBorder="1" applyAlignment="1">
      <alignment horizontal="center" vertical="center" wrapText="1" shrinkToFit="1"/>
    </xf>
    <xf numFmtId="0" fontId="3" fillId="3" borderId="24" xfId="0" applyFont="1" applyFill="1" applyBorder="1" applyAlignment="1">
      <alignment horizontal="center" vertical="center" wrapText="1" shrinkToFit="1"/>
    </xf>
    <xf numFmtId="0" fontId="3" fillId="3" borderId="25" xfId="0" applyFont="1" applyFill="1" applyBorder="1" applyAlignment="1">
      <alignment horizontal="center" vertical="center" wrapText="1" shrinkToFit="1"/>
    </xf>
    <xf numFmtId="0" fontId="3" fillId="3" borderId="27" xfId="0" applyFont="1" applyFill="1" applyBorder="1" applyAlignment="1">
      <alignment horizontal="center" vertical="center" wrapText="1" shrinkToFit="1"/>
    </xf>
    <xf numFmtId="0" fontId="3" fillId="3" borderId="28" xfId="0" applyFont="1" applyFill="1" applyBorder="1" applyAlignment="1">
      <alignment horizontal="center" vertical="center" wrapText="1" shrinkToFit="1"/>
    </xf>
    <xf numFmtId="0" fontId="3" fillId="3" borderId="10" xfId="0" applyFont="1" applyFill="1" applyBorder="1" applyAlignment="1">
      <alignment horizontal="center" vertical="center" wrapText="1" shrinkToFit="1"/>
    </xf>
    <xf numFmtId="0" fontId="3" fillId="3" borderId="12" xfId="0" applyFont="1" applyFill="1" applyBorder="1" applyAlignment="1">
      <alignment horizontal="center" vertical="center" wrapText="1" shrinkToFit="1"/>
    </xf>
    <xf numFmtId="0" fontId="3" fillId="3" borderId="13" xfId="0" applyFont="1" applyFill="1" applyBorder="1" applyAlignment="1">
      <alignment horizontal="center" vertical="center" wrapText="1" shrinkToFit="1"/>
    </xf>
    <xf numFmtId="0" fontId="15" fillId="0" borderId="23" xfId="0" applyFont="1" applyBorder="1" applyAlignment="1" applyProtection="1">
      <alignment horizontal="left"/>
      <protection locked="0"/>
    </xf>
    <xf numFmtId="0" fontId="0" fillId="0" borderId="23" xfId="0" applyBorder="1" applyAlignment="1" applyProtection="1">
      <alignment horizontal="left"/>
      <protection locked="0"/>
    </xf>
    <xf numFmtId="0" fontId="67" fillId="5" borderId="23" xfId="0" applyFont="1" applyFill="1" applyBorder="1" applyAlignment="1" applyProtection="1">
      <alignment horizontal="left"/>
      <protection locked="0"/>
    </xf>
    <xf numFmtId="0" fontId="27" fillId="5" borderId="33" xfId="0" applyFont="1" applyFill="1" applyBorder="1" applyAlignment="1" applyProtection="1">
      <alignment horizontal="left"/>
      <protection locked="0"/>
    </xf>
    <xf numFmtId="0" fontId="5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109538</xdr:colOff>
      <xdr:row>3</xdr:row>
      <xdr:rowOff>342900</xdr:rowOff>
    </xdr:from>
    <xdr:to>
      <xdr:col>17</xdr:col>
      <xdr:colOff>223838</xdr:colOff>
      <xdr:row>4</xdr:row>
      <xdr:rowOff>28575</xdr:rowOff>
    </xdr:to>
    <xdr:sp macro="" textlink="">
      <xdr:nvSpPr>
        <xdr:cNvPr id="28348" name="Text Box 1">
          <a:extLst>
            <a:ext uri="{FF2B5EF4-FFF2-40B4-BE49-F238E27FC236}">
              <a16:creationId xmlns:a16="http://schemas.microsoft.com/office/drawing/2014/main" id="{727467EA-843E-473C-8CB4-4DC2FF472DDE}"/>
            </a:ext>
          </a:extLst>
        </xdr:cNvPr>
        <xdr:cNvSpPr txBox="1">
          <a:spLocks noChangeArrowheads="1"/>
        </xdr:cNvSpPr>
      </xdr:nvSpPr>
      <xdr:spPr bwMode="auto">
        <a:xfrm>
          <a:off x="13549313" y="8858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109538</xdr:colOff>
      <xdr:row>3</xdr:row>
      <xdr:rowOff>342900</xdr:rowOff>
    </xdr:from>
    <xdr:to>
      <xdr:col>17</xdr:col>
      <xdr:colOff>223838</xdr:colOff>
      <xdr:row>4</xdr:row>
      <xdr:rowOff>28575</xdr:rowOff>
    </xdr:to>
    <xdr:sp macro="" textlink="">
      <xdr:nvSpPr>
        <xdr:cNvPr id="28349" name="Text Box 1">
          <a:extLst>
            <a:ext uri="{FF2B5EF4-FFF2-40B4-BE49-F238E27FC236}">
              <a16:creationId xmlns:a16="http://schemas.microsoft.com/office/drawing/2014/main" id="{EBE9E357-5051-4358-93C5-D6AA8D890F08}"/>
            </a:ext>
          </a:extLst>
        </xdr:cNvPr>
        <xdr:cNvSpPr txBox="1">
          <a:spLocks noChangeArrowheads="1"/>
        </xdr:cNvSpPr>
      </xdr:nvSpPr>
      <xdr:spPr bwMode="auto">
        <a:xfrm>
          <a:off x="13549313" y="885825"/>
          <a:ext cx="114300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</sheetPr>
  <dimension ref="A1:AL117"/>
  <sheetViews>
    <sheetView tabSelected="1" topLeftCell="A70" zoomScale="67" zoomScaleNormal="67" zoomScaleSheetLayoutView="71" workbookViewId="0">
      <selection activeCell="L98" sqref="L98"/>
    </sheetView>
  </sheetViews>
  <sheetFormatPr defaultRowHeight="12.75" x14ac:dyDescent="0.35"/>
  <cols>
    <col min="1" max="1" width="7.46484375" customWidth="1"/>
    <col min="2" max="2" width="17.1328125" customWidth="1"/>
    <col min="3" max="3" width="13.6640625" customWidth="1"/>
    <col min="4" max="4" width="16.33203125" customWidth="1"/>
    <col min="5" max="5" width="5.53125" customWidth="1"/>
    <col min="6" max="6" width="8.6640625" customWidth="1"/>
    <col min="7" max="7" width="13.86328125" customWidth="1"/>
    <col min="8" max="8" width="8.33203125" customWidth="1"/>
    <col min="9" max="9" width="13.46484375" customWidth="1"/>
    <col min="10" max="10" width="9.33203125" customWidth="1"/>
    <col min="11" max="11" width="13.6640625" customWidth="1"/>
    <col min="12" max="12" width="10.33203125" customWidth="1"/>
    <col min="13" max="13" width="8.86328125" customWidth="1"/>
    <col min="14" max="14" width="9.53125" customWidth="1"/>
    <col min="15" max="15" width="9.33203125" customWidth="1"/>
    <col min="16" max="16" width="10.1328125" customWidth="1"/>
    <col min="17" max="17" width="12.46484375" customWidth="1"/>
    <col min="18" max="19" width="10.53125" customWidth="1"/>
    <col min="20" max="20" width="11.33203125" customWidth="1"/>
    <col min="21" max="22" width="10" customWidth="1"/>
    <col min="23" max="23" width="9" customWidth="1"/>
    <col min="24" max="24" width="11.86328125" customWidth="1"/>
    <col min="25" max="25" width="11.46484375" customWidth="1"/>
    <col min="26" max="26" width="12.53125" customWidth="1"/>
    <col min="27" max="27" width="11.86328125" customWidth="1"/>
    <col min="28" max="29" width="11.46484375" customWidth="1"/>
    <col min="30" max="30" width="12.1328125" customWidth="1"/>
    <col min="31" max="31" width="17.46484375" customWidth="1"/>
    <col min="32" max="32" width="19.86328125" customWidth="1"/>
    <col min="33" max="33" width="10.6640625" customWidth="1"/>
    <col min="34" max="34" width="10.86328125" customWidth="1"/>
    <col min="35" max="35" width="11.53125" customWidth="1"/>
    <col min="36" max="36" width="12.53125" customWidth="1"/>
    <col min="37" max="37" width="12.1328125" customWidth="1"/>
    <col min="38" max="38" width="4.46484375" customWidth="1"/>
  </cols>
  <sheetData>
    <row r="1" spans="1:38" ht="15" x14ac:dyDescent="0.4">
      <c r="A1" s="14"/>
      <c r="B1" s="13"/>
      <c r="C1" s="13"/>
      <c r="D1" s="14"/>
      <c r="E1" s="1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5" t="s">
        <v>128</v>
      </c>
      <c r="S1" s="91"/>
      <c r="T1" s="96"/>
      <c r="U1" s="139"/>
      <c r="W1" s="139"/>
      <c r="X1" s="139"/>
      <c r="AA1" s="2"/>
      <c r="AF1" s="145" t="s">
        <v>128</v>
      </c>
      <c r="AI1" s="91"/>
      <c r="AJ1" s="96"/>
      <c r="AK1" s="139"/>
      <c r="AL1" s="72"/>
    </row>
    <row r="2" spans="1:38" ht="15.4" thickBot="1" x14ac:dyDescent="0.45">
      <c r="A2" s="14"/>
      <c r="B2" s="13"/>
      <c r="C2" s="13"/>
      <c r="D2" s="14"/>
      <c r="E2" s="13"/>
      <c r="F2" s="13" t="s">
        <v>0</v>
      </c>
      <c r="G2" s="270">
        <v>41365</v>
      </c>
      <c r="H2" s="14"/>
      <c r="I2" s="14"/>
      <c r="J2" s="13" t="s">
        <v>1</v>
      </c>
      <c r="K2" s="270">
        <v>41394</v>
      </c>
      <c r="L2" s="14"/>
      <c r="M2" s="14"/>
      <c r="N2" s="13"/>
      <c r="O2" s="13"/>
      <c r="P2" s="13"/>
      <c r="Q2" s="139"/>
      <c r="R2" s="14"/>
      <c r="S2" s="14"/>
      <c r="T2" s="146"/>
      <c r="U2" s="98"/>
      <c r="W2" s="98"/>
      <c r="X2" s="98"/>
      <c r="AA2" s="13"/>
      <c r="AB2" s="85"/>
      <c r="AC2" s="85"/>
      <c r="AD2" s="14"/>
      <c r="AE2" s="14"/>
      <c r="AF2" s="139"/>
      <c r="AG2" s="86"/>
      <c r="AH2" s="14"/>
      <c r="AI2" s="91"/>
      <c r="AJ2" s="96"/>
      <c r="AK2" s="98"/>
      <c r="AL2" s="72"/>
    </row>
    <row r="3" spans="1:38" ht="15.4" thickBot="1" x14ac:dyDescent="0.45">
      <c r="A3" s="14"/>
      <c r="B3" s="13" t="s">
        <v>90</v>
      </c>
      <c r="C3" s="234"/>
      <c r="D3" s="315"/>
      <c r="E3" s="13" t="s">
        <v>2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98" t="s">
        <v>93</v>
      </c>
      <c r="AF3" s="98" t="s">
        <v>94</v>
      </c>
      <c r="AI3" s="3"/>
      <c r="AJ3" s="71"/>
      <c r="AK3" s="72"/>
      <c r="AL3" s="72"/>
    </row>
    <row r="4" spans="1:38" ht="24" customHeight="1" thickBot="1" x14ac:dyDescent="0.85">
      <c r="B4" s="235" t="s">
        <v>113</v>
      </c>
      <c r="C4" s="14"/>
      <c r="D4" s="14"/>
      <c r="F4" s="140" t="s">
        <v>86</v>
      </c>
      <c r="G4" s="140"/>
      <c r="I4" s="140"/>
      <c r="J4" s="80" t="s">
        <v>71</v>
      </c>
      <c r="K4" s="141"/>
      <c r="L4" s="141"/>
      <c r="M4" s="141"/>
      <c r="N4" s="80"/>
      <c r="O4" s="36"/>
      <c r="P4" s="36"/>
      <c r="Q4" s="35"/>
      <c r="R4" s="35"/>
      <c r="S4" s="35"/>
      <c r="T4" s="35"/>
      <c r="U4" s="35"/>
      <c r="V4" s="35"/>
      <c r="W4" s="36"/>
      <c r="X4" s="34"/>
    </row>
    <row r="5" spans="1:38" ht="8.25" customHeight="1" x14ac:dyDescent="0.4">
      <c r="A5" s="112"/>
      <c r="B5" s="113"/>
      <c r="C5" s="114"/>
      <c r="D5" s="114"/>
      <c r="E5" s="115"/>
      <c r="F5" s="411" t="s">
        <v>91</v>
      </c>
      <c r="G5" s="413"/>
      <c r="H5" s="113"/>
      <c r="I5" s="114"/>
      <c r="J5" s="112"/>
      <c r="K5" s="398" t="s">
        <v>131</v>
      </c>
      <c r="L5" s="417" t="str">
        <f>L56</f>
        <v>Travelling</v>
      </c>
      <c r="M5" s="411" t="s">
        <v>73</v>
      </c>
      <c r="N5" s="413"/>
      <c r="O5" s="401" t="str">
        <f>J57</f>
        <v>BONUS</v>
      </c>
      <c r="P5" s="271"/>
      <c r="Q5" s="409" t="s">
        <v>51</v>
      </c>
      <c r="R5" s="411" t="s">
        <v>3</v>
      </c>
      <c r="S5" s="412"/>
      <c r="T5" s="412"/>
      <c r="U5" s="412"/>
      <c r="V5" s="412"/>
      <c r="W5" s="412"/>
      <c r="X5" s="412"/>
      <c r="Y5" s="412"/>
      <c r="Z5" s="413"/>
      <c r="AA5" s="406" t="s">
        <v>67</v>
      </c>
      <c r="AB5" s="403" t="s">
        <v>110</v>
      </c>
      <c r="AC5" s="403" t="s">
        <v>124</v>
      </c>
      <c r="AD5" s="403" t="s">
        <v>111</v>
      </c>
      <c r="AE5" s="420" t="s">
        <v>13</v>
      </c>
      <c r="AF5" s="421"/>
    </row>
    <row r="6" spans="1:38" ht="15.75" customHeight="1" thickBot="1" x14ac:dyDescent="0.45">
      <c r="A6" s="116" t="s">
        <v>4</v>
      </c>
      <c r="B6" s="117" t="s">
        <v>5</v>
      </c>
      <c r="C6" s="118"/>
      <c r="D6" s="119" t="s">
        <v>6</v>
      </c>
      <c r="E6" s="119"/>
      <c r="F6" s="414"/>
      <c r="G6" s="416"/>
      <c r="H6" s="120" t="s">
        <v>10</v>
      </c>
      <c r="I6" s="121"/>
      <c r="J6" s="122" t="s">
        <v>72</v>
      </c>
      <c r="K6" s="399"/>
      <c r="L6" s="418"/>
      <c r="M6" s="414"/>
      <c r="N6" s="416"/>
      <c r="O6" s="402"/>
      <c r="P6" s="395" t="s">
        <v>117</v>
      </c>
      <c r="Q6" s="410"/>
      <c r="R6" s="414"/>
      <c r="S6" s="415"/>
      <c r="T6" s="415"/>
      <c r="U6" s="415"/>
      <c r="V6" s="415"/>
      <c r="W6" s="415"/>
      <c r="X6" s="415"/>
      <c r="Y6" s="415"/>
      <c r="Z6" s="416"/>
      <c r="AA6" s="407"/>
      <c r="AB6" s="404"/>
      <c r="AC6" s="404"/>
      <c r="AD6" s="404"/>
      <c r="AE6" s="422"/>
      <c r="AF6" s="423"/>
    </row>
    <row r="7" spans="1:38" s="266" customFormat="1" ht="26.25" customHeight="1" thickBot="1" x14ac:dyDescent="0.45">
      <c r="A7" s="258"/>
      <c r="B7" s="259"/>
      <c r="C7" s="260"/>
      <c r="D7" s="260"/>
      <c r="E7" s="261"/>
      <c r="F7" s="262" t="s">
        <v>8</v>
      </c>
      <c r="G7" s="262" t="s">
        <v>9</v>
      </c>
      <c r="H7" s="262" t="s">
        <v>75</v>
      </c>
      <c r="I7" s="262" t="s">
        <v>9</v>
      </c>
      <c r="J7" s="263" t="s">
        <v>14</v>
      </c>
      <c r="K7" s="400"/>
      <c r="L7" s="419"/>
      <c r="M7" s="262" t="s">
        <v>8</v>
      </c>
      <c r="N7" s="262" t="s">
        <v>9</v>
      </c>
      <c r="O7" s="402"/>
      <c r="P7" s="396"/>
      <c r="Q7" s="410"/>
      <c r="R7" s="262" t="s">
        <v>112</v>
      </c>
      <c r="S7" s="264" t="s">
        <v>108</v>
      </c>
      <c r="T7" s="262" t="s">
        <v>16</v>
      </c>
      <c r="U7" s="262" t="s">
        <v>76</v>
      </c>
      <c r="V7" s="262" t="s">
        <v>77</v>
      </c>
      <c r="W7" s="262" t="s">
        <v>84</v>
      </c>
      <c r="X7" s="262" t="s">
        <v>85</v>
      </c>
      <c r="Y7" s="262" t="s">
        <v>92</v>
      </c>
      <c r="Z7" s="242" t="s">
        <v>109</v>
      </c>
      <c r="AA7" s="408"/>
      <c r="AB7" s="405"/>
      <c r="AC7" s="426"/>
      <c r="AD7" s="405"/>
      <c r="AE7" s="424"/>
      <c r="AF7" s="425"/>
      <c r="AG7" s="265"/>
    </row>
    <row r="8" spans="1:38" s="143" customFormat="1" ht="20.100000000000001" customHeight="1" x14ac:dyDescent="0.4">
      <c r="A8" s="297">
        <v>1</v>
      </c>
      <c r="B8" s="430"/>
      <c r="C8" s="430"/>
      <c r="D8" s="288" t="s">
        <v>17</v>
      </c>
      <c r="E8" s="185"/>
      <c r="F8" s="317">
        <v>0</v>
      </c>
      <c r="G8" s="247">
        <f t="shared" ref="G8:G31" si="0">(F59/30)*F8</f>
        <v>0</v>
      </c>
      <c r="H8" s="248"/>
      <c r="I8" s="247">
        <f t="shared" ref="I8:I31" si="1">(H59/30)*F8</f>
        <v>0</v>
      </c>
      <c r="J8" s="247">
        <f t="shared" ref="J8:J31" si="2">(G59/30)*F8</f>
        <v>0</v>
      </c>
      <c r="K8" s="247">
        <v>0</v>
      </c>
      <c r="L8" s="252">
        <f t="shared" ref="L8:L15" si="3">M59</f>
        <v>0</v>
      </c>
      <c r="M8" s="309"/>
      <c r="N8" s="247">
        <f t="shared" ref="N8:N31" si="4">(I59/30)*F8</f>
        <v>0</v>
      </c>
      <c r="O8" s="247">
        <f t="shared" ref="O8:O31" si="5">(J59/30)*F8</f>
        <v>0</v>
      </c>
      <c r="P8" s="275">
        <v>0</v>
      </c>
      <c r="Q8" s="184">
        <f t="shared" ref="Q8:Q29" si="6">G8+I8+J8+K8+L8+N8+O8+P8</f>
        <v>0</v>
      </c>
      <c r="R8" s="252">
        <f t="shared" ref="R8:R29" si="7">N8</f>
        <v>0</v>
      </c>
      <c r="S8" s="300"/>
      <c r="T8" s="300"/>
      <c r="U8" s="300"/>
      <c r="V8" s="300"/>
      <c r="W8" s="300"/>
      <c r="X8" s="300"/>
      <c r="Y8" s="300"/>
      <c r="Z8" s="249">
        <f>SUM(R8:Y8)</f>
        <v>0</v>
      </c>
      <c r="AA8" s="247">
        <f t="shared" ref="AA8:AA24" si="8">Q8-Z8</f>
        <v>0</v>
      </c>
      <c r="AB8" s="331">
        <v>0</v>
      </c>
      <c r="AC8" s="301">
        <f>'deduct list'!U10</f>
        <v>0</v>
      </c>
      <c r="AD8" s="329">
        <f>SUM(AA8:AB8)+AC8</f>
        <v>0</v>
      </c>
      <c r="AE8" s="393"/>
      <c r="AF8" s="394"/>
      <c r="AG8" s="142"/>
    </row>
    <row r="9" spans="1:38" ht="20.100000000000001" customHeight="1" x14ac:dyDescent="0.4">
      <c r="A9" s="298">
        <f t="shared" ref="A9:A22" si="9">A8+1</f>
        <v>2</v>
      </c>
      <c r="B9" s="383"/>
      <c r="C9" s="383"/>
      <c r="D9" s="287" t="s">
        <v>101</v>
      </c>
      <c r="E9" s="182"/>
      <c r="F9" s="318">
        <v>0</v>
      </c>
      <c r="G9" s="184">
        <f t="shared" si="0"/>
        <v>0</v>
      </c>
      <c r="H9" s="250"/>
      <c r="I9" s="184">
        <f t="shared" si="1"/>
        <v>0</v>
      </c>
      <c r="J9" s="184">
        <f t="shared" si="2"/>
        <v>0</v>
      </c>
      <c r="K9" s="184">
        <f t="shared" ref="K9:K31" si="10">(K60/30)*F9</f>
        <v>0</v>
      </c>
      <c r="L9" s="184">
        <f t="shared" si="3"/>
        <v>0</v>
      </c>
      <c r="M9" s="310"/>
      <c r="N9" s="184">
        <f t="shared" si="4"/>
        <v>0</v>
      </c>
      <c r="O9" s="184">
        <f t="shared" si="5"/>
        <v>0</v>
      </c>
      <c r="P9" s="184">
        <v>0</v>
      </c>
      <c r="Q9" s="184">
        <f t="shared" si="6"/>
        <v>0</v>
      </c>
      <c r="R9" s="184">
        <f t="shared" si="7"/>
        <v>0</v>
      </c>
      <c r="S9" s="301"/>
      <c r="T9" s="301"/>
      <c r="U9" s="301"/>
      <c r="V9" s="301"/>
      <c r="W9" s="301"/>
      <c r="X9" s="301"/>
      <c r="Y9" s="301"/>
      <c r="Z9" s="250">
        <f t="shared" ref="Z9:Z31" si="11">SUM(R9:Y9)</f>
        <v>0</v>
      </c>
      <c r="AA9" s="184">
        <f t="shared" si="8"/>
        <v>0</v>
      </c>
      <c r="AB9" s="332">
        <v>0</v>
      </c>
      <c r="AC9" s="301">
        <f>'deduct list'!U11</f>
        <v>0</v>
      </c>
      <c r="AD9" s="330">
        <f t="shared" ref="AD9:AD31" si="12">SUM(AA9:AB9)+AC9</f>
        <v>0</v>
      </c>
      <c r="AE9" s="377"/>
      <c r="AF9" s="386"/>
      <c r="AG9" s="40"/>
    </row>
    <row r="10" spans="1:38" ht="20.100000000000001" customHeight="1" x14ac:dyDescent="0.4">
      <c r="A10" s="298">
        <f t="shared" si="9"/>
        <v>3</v>
      </c>
      <c r="B10" s="383"/>
      <c r="C10" s="383"/>
      <c r="D10" s="287" t="s">
        <v>99</v>
      </c>
      <c r="E10" s="182"/>
      <c r="F10" s="318">
        <v>0</v>
      </c>
      <c r="G10" s="184">
        <f t="shared" si="0"/>
        <v>0</v>
      </c>
      <c r="H10" s="250"/>
      <c r="I10" s="184">
        <f t="shared" si="1"/>
        <v>0</v>
      </c>
      <c r="J10" s="184">
        <f t="shared" si="2"/>
        <v>0</v>
      </c>
      <c r="K10" s="184">
        <f t="shared" si="10"/>
        <v>0</v>
      </c>
      <c r="L10" s="184">
        <f t="shared" si="3"/>
        <v>0</v>
      </c>
      <c r="M10" s="310"/>
      <c r="N10" s="184">
        <f t="shared" si="4"/>
        <v>0</v>
      </c>
      <c r="O10" s="184">
        <f t="shared" si="5"/>
        <v>0</v>
      </c>
      <c r="P10" s="184">
        <v>0</v>
      </c>
      <c r="Q10" s="184">
        <f t="shared" si="6"/>
        <v>0</v>
      </c>
      <c r="R10" s="184">
        <f t="shared" si="7"/>
        <v>0</v>
      </c>
      <c r="S10" s="301"/>
      <c r="T10" s="301"/>
      <c r="U10" s="301"/>
      <c r="V10" s="301"/>
      <c r="W10" s="301"/>
      <c r="X10" s="301"/>
      <c r="Y10" s="301"/>
      <c r="Z10" s="250">
        <f t="shared" si="11"/>
        <v>0</v>
      </c>
      <c r="AA10" s="184">
        <f t="shared" si="8"/>
        <v>0</v>
      </c>
      <c r="AB10" s="332">
        <v>0</v>
      </c>
      <c r="AC10" s="301">
        <f>'deduct list'!U12</f>
        <v>0</v>
      </c>
      <c r="AD10" s="330">
        <f t="shared" si="12"/>
        <v>0</v>
      </c>
      <c r="AE10" s="377"/>
      <c r="AF10" s="386"/>
      <c r="AG10" s="40"/>
    </row>
    <row r="11" spans="1:38" s="143" customFormat="1" ht="20.100000000000001" customHeight="1" x14ac:dyDescent="0.4">
      <c r="A11" s="298">
        <f t="shared" si="9"/>
        <v>4</v>
      </c>
      <c r="B11" s="383"/>
      <c r="C11" s="383"/>
      <c r="D11" s="287" t="s">
        <v>100</v>
      </c>
      <c r="E11" s="182"/>
      <c r="F11" s="318">
        <v>0</v>
      </c>
      <c r="G11" s="184">
        <f t="shared" si="0"/>
        <v>0</v>
      </c>
      <c r="H11" s="184"/>
      <c r="I11" s="184">
        <f t="shared" si="1"/>
        <v>0</v>
      </c>
      <c r="J11" s="184">
        <f t="shared" si="2"/>
        <v>0</v>
      </c>
      <c r="K11" s="184">
        <f t="shared" si="10"/>
        <v>0</v>
      </c>
      <c r="L11" s="184">
        <f t="shared" si="3"/>
        <v>0</v>
      </c>
      <c r="M11" s="311"/>
      <c r="N11" s="184">
        <f t="shared" si="4"/>
        <v>0</v>
      </c>
      <c r="O11" s="184">
        <f t="shared" si="5"/>
        <v>0</v>
      </c>
      <c r="P11" s="184">
        <v>0</v>
      </c>
      <c r="Q11" s="184">
        <f t="shared" si="6"/>
        <v>0</v>
      </c>
      <c r="R11" s="184">
        <f t="shared" si="7"/>
        <v>0</v>
      </c>
      <c r="S11" s="301"/>
      <c r="T11" s="301"/>
      <c r="U11" s="301"/>
      <c r="V11" s="301"/>
      <c r="W11" s="302"/>
      <c r="X11" s="301"/>
      <c r="Y11" s="301"/>
      <c r="Z11" s="250">
        <f t="shared" si="11"/>
        <v>0</v>
      </c>
      <c r="AA11" s="184">
        <f t="shared" si="8"/>
        <v>0</v>
      </c>
      <c r="AB11" s="333">
        <v>0</v>
      </c>
      <c r="AC11" s="301">
        <f>'deduct list'!U13</f>
        <v>0</v>
      </c>
      <c r="AD11" s="330">
        <f t="shared" si="12"/>
        <v>0</v>
      </c>
      <c r="AE11" s="377"/>
      <c r="AF11" s="378"/>
      <c r="AG11" s="142"/>
    </row>
    <row r="12" spans="1:38" ht="20.100000000000001" customHeight="1" x14ac:dyDescent="0.4">
      <c r="A12" s="298">
        <f t="shared" si="9"/>
        <v>5</v>
      </c>
      <c r="B12" s="383"/>
      <c r="C12" s="383"/>
      <c r="D12" s="287" t="s">
        <v>102</v>
      </c>
      <c r="E12" s="182"/>
      <c r="F12" s="318">
        <v>0</v>
      </c>
      <c r="G12" s="184">
        <f t="shared" si="0"/>
        <v>0</v>
      </c>
      <c r="H12" s="250"/>
      <c r="I12" s="184">
        <f t="shared" si="1"/>
        <v>0</v>
      </c>
      <c r="J12" s="184">
        <f t="shared" si="2"/>
        <v>0</v>
      </c>
      <c r="K12" s="184">
        <f t="shared" si="10"/>
        <v>0</v>
      </c>
      <c r="L12" s="184">
        <f t="shared" si="3"/>
        <v>0</v>
      </c>
      <c r="M12" s="310"/>
      <c r="N12" s="184">
        <f t="shared" si="4"/>
        <v>0</v>
      </c>
      <c r="O12" s="184">
        <f t="shared" si="5"/>
        <v>0</v>
      </c>
      <c r="P12" s="275">
        <f t="shared" ref="P12:P26" si="13">N63/E63*F12</f>
        <v>0</v>
      </c>
      <c r="Q12" s="184">
        <f t="shared" si="6"/>
        <v>0</v>
      </c>
      <c r="R12" s="184">
        <f t="shared" si="7"/>
        <v>0</v>
      </c>
      <c r="S12" s="301"/>
      <c r="T12" s="301"/>
      <c r="U12" s="301"/>
      <c r="V12" s="301"/>
      <c r="W12" s="301"/>
      <c r="X12" s="301"/>
      <c r="Y12" s="301"/>
      <c r="Z12" s="250">
        <f t="shared" si="11"/>
        <v>0</v>
      </c>
      <c r="AA12" s="184">
        <f t="shared" si="8"/>
        <v>0</v>
      </c>
      <c r="AB12" s="332">
        <v>0</v>
      </c>
      <c r="AC12" s="301">
        <f>'deduct list'!U14</f>
        <v>0</v>
      </c>
      <c r="AD12" s="330">
        <f t="shared" si="12"/>
        <v>0</v>
      </c>
      <c r="AE12" s="377"/>
      <c r="AF12" s="386"/>
      <c r="AG12" s="40"/>
    </row>
    <row r="13" spans="1:38" ht="20.100000000000001" customHeight="1" x14ac:dyDescent="0.4">
      <c r="A13" s="298">
        <f t="shared" si="9"/>
        <v>6</v>
      </c>
      <c r="B13" s="383"/>
      <c r="C13" s="383"/>
      <c r="D13" s="287" t="s">
        <v>66</v>
      </c>
      <c r="E13" s="182"/>
      <c r="F13" s="318">
        <v>0</v>
      </c>
      <c r="G13" s="184">
        <f t="shared" si="0"/>
        <v>0</v>
      </c>
      <c r="H13" s="250"/>
      <c r="I13" s="184">
        <f t="shared" si="1"/>
        <v>0</v>
      </c>
      <c r="J13" s="184">
        <f t="shared" si="2"/>
        <v>0</v>
      </c>
      <c r="K13" s="184">
        <f t="shared" si="10"/>
        <v>0</v>
      </c>
      <c r="L13" s="184">
        <f t="shared" si="3"/>
        <v>0</v>
      </c>
      <c r="M13" s="310"/>
      <c r="N13" s="184">
        <f t="shared" si="4"/>
        <v>0</v>
      </c>
      <c r="O13" s="184">
        <f t="shared" si="5"/>
        <v>0</v>
      </c>
      <c r="P13" s="184">
        <f t="shared" si="13"/>
        <v>0</v>
      </c>
      <c r="Q13" s="184">
        <f t="shared" si="6"/>
        <v>0</v>
      </c>
      <c r="R13" s="184">
        <f t="shared" si="7"/>
        <v>0</v>
      </c>
      <c r="S13" s="301"/>
      <c r="T13" s="301"/>
      <c r="U13" s="301"/>
      <c r="V13" s="301"/>
      <c r="W13" s="301"/>
      <c r="X13" s="301"/>
      <c r="Y13" s="301"/>
      <c r="Z13" s="250">
        <f t="shared" si="11"/>
        <v>0</v>
      </c>
      <c r="AA13" s="184">
        <f t="shared" si="8"/>
        <v>0</v>
      </c>
      <c r="AB13" s="332">
        <v>0</v>
      </c>
      <c r="AC13" s="301">
        <f>'deduct list'!U15</f>
        <v>0</v>
      </c>
      <c r="AD13" s="330">
        <f t="shared" si="12"/>
        <v>0</v>
      </c>
      <c r="AE13" s="377"/>
      <c r="AF13" s="386"/>
      <c r="AG13" s="40"/>
    </row>
    <row r="14" spans="1:38" ht="20.100000000000001" customHeight="1" x14ac:dyDescent="0.4">
      <c r="A14" s="298">
        <f t="shared" si="9"/>
        <v>7</v>
      </c>
      <c r="B14" s="383"/>
      <c r="C14" s="383"/>
      <c r="D14" s="287" t="s">
        <v>103</v>
      </c>
      <c r="E14" s="182"/>
      <c r="F14" s="318">
        <v>0</v>
      </c>
      <c r="G14" s="184">
        <f t="shared" si="0"/>
        <v>0</v>
      </c>
      <c r="H14" s="250"/>
      <c r="I14" s="184">
        <f t="shared" si="1"/>
        <v>0</v>
      </c>
      <c r="J14" s="184">
        <f t="shared" si="2"/>
        <v>0</v>
      </c>
      <c r="K14" s="184">
        <f t="shared" si="10"/>
        <v>0</v>
      </c>
      <c r="L14" s="184">
        <f t="shared" si="3"/>
        <v>0</v>
      </c>
      <c r="M14" s="310"/>
      <c r="N14" s="184">
        <f t="shared" si="4"/>
        <v>0</v>
      </c>
      <c r="O14" s="184">
        <f t="shared" si="5"/>
        <v>0</v>
      </c>
      <c r="P14" s="184">
        <f t="shared" si="13"/>
        <v>0</v>
      </c>
      <c r="Q14" s="184">
        <f t="shared" si="6"/>
        <v>0</v>
      </c>
      <c r="R14" s="184">
        <f t="shared" si="7"/>
        <v>0</v>
      </c>
      <c r="S14" s="301"/>
      <c r="T14" s="301"/>
      <c r="U14" s="301"/>
      <c r="V14" s="301"/>
      <c r="W14" s="301"/>
      <c r="X14" s="301"/>
      <c r="Y14" s="301"/>
      <c r="Z14" s="250">
        <f t="shared" si="11"/>
        <v>0</v>
      </c>
      <c r="AA14" s="184">
        <f t="shared" si="8"/>
        <v>0</v>
      </c>
      <c r="AB14" s="332">
        <v>0</v>
      </c>
      <c r="AC14" s="301">
        <f>'deduct list'!U16</f>
        <v>0</v>
      </c>
      <c r="AD14" s="330">
        <f t="shared" si="12"/>
        <v>0</v>
      </c>
      <c r="AE14" s="377"/>
      <c r="AF14" s="386"/>
      <c r="AG14" s="40"/>
    </row>
    <row r="15" spans="1:38" ht="20.100000000000001" customHeight="1" x14ac:dyDescent="0.4">
      <c r="A15" s="298">
        <f t="shared" si="9"/>
        <v>8</v>
      </c>
      <c r="B15" s="383"/>
      <c r="C15" s="383"/>
      <c r="D15" s="287" t="s">
        <v>104</v>
      </c>
      <c r="E15" s="182"/>
      <c r="F15" s="318">
        <v>0</v>
      </c>
      <c r="G15" s="184">
        <f t="shared" si="0"/>
        <v>0</v>
      </c>
      <c r="H15" s="250"/>
      <c r="I15" s="184">
        <f t="shared" si="1"/>
        <v>0</v>
      </c>
      <c r="J15" s="184">
        <f t="shared" si="2"/>
        <v>0</v>
      </c>
      <c r="K15" s="184">
        <f t="shared" si="10"/>
        <v>0</v>
      </c>
      <c r="L15" s="184">
        <f t="shared" si="3"/>
        <v>0</v>
      </c>
      <c r="M15" s="310"/>
      <c r="N15" s="184">
        <f t="shared" si="4"/>
        <v>0</v>
      </c>
      <c r="O15" s="184">
        <f t="shared" si="5"/>
        <v>0</v>
      </c>
      <c r="P15" s="184">
        <f t="shared" si="13"/>
        <v>0</v>
      </c>
      <c r="Q15" s="184">
        <f t="shared" si="6"/>
        <v>0</v>
      </c>
      <c r="R15" s="184">
        <f t="shared" si="7"/>
        <v>0</v>
      </c>
      <c r="S15" s="301"/>
      <c r="T15" s="301"/>
      <c r="U15" s="301"/>
      <c r="V15" s="301"/>
      <c r="W15" s="301"/>
      <c r="X15" s="301"/>
      <c r="Y15" s="301"/>
      <c r="Z15" s="250">
        <f t="shared" si="11"/>
        <v>0</v>
      </c>
      <c r="AA15" s="184">
        <f t="shared" ref="AA15:AA21" si="14">Q15-Z15</f>
        <v>0</v>
      </c>
      <c r="AB15" s="332">
        <v>0</v>
      </c>
      <c r="AC15" s="301">
        <f>'deduct list'!U17</f>
        <v>0</v>
      </c>
      <c r="AD15" s="330">
        <f t="shared" si="12"/>
        <v>0</v>
      </c>
      <c r="AE15" s="377"/>
      <c r="AF15" s="386"/>
      <c r="AG15" s="40"/>
    </row>
    <row r="16" spans="1:38" ht="20.100000000000001" customHeight="1" x14ac:dyDescent="0.4">
      <c r="A16" s="298">
        <f t="shared" si="9"/>
        <v>9</v>
      </c>
      <c r="B16" s="383"/>
      <c r="C16" s="383"/>
      <c r="D16" s="287" t="s">
        <v>132</v>
      </c>
      <c r="E16" s="182"/>
      <c r="F16" s="318">
        <v>0</v>
      </c>
      <c r="G16" s="184">
        <f t="shared" si="0"/>
        <v>0</v>
      </c>
      <c r="H16" s="250"/>
      <c r="I16" s="184">
        <f t="shared" si="1"/>
        <v>0</v>
      </c>
      <c r="J16" s="184">
        <f t="shared" si="2"/>
        <v>0</v>
      </c>
      <c r="K16" s="184">
        <f t="shared" si="10"/>
        <v>0</v>
      </c>
      <c r="L16" s="184">
        <f t="shared" ref="L16:L21" si="15">M67</f>
        <v>0</v>
      </c>
      <c r="M16" s="310"/>
      <c r="N16" s="184">
        <f t="shared" si="4"/>
        <v>0</v>
      </c>
      <c r="O16" s="184">
        <f t="shared" si="5"/>
        <v>0</v>
      </c>
      <c r="P16" s="184">
        <f t="shared" si="13"/>
        <v>0</v>
      </c>
      <c r="Q16" s="184">
        <f t="shared" ref="Q16:Q21" si="16">G16+I16+J16+K16+L16+N16+O16+P16</f>
        <v>0</v>
      </c>
      <c r="R16" s="184">
        <f t="shared" ref="R16:R21" si="17">N16</f>
        <v>0</v>
      </c>
      <c r="S16" s="301"/>
      <c r="T16" s="301"/>
      <c r="U16" s="301"/>
      <c r="V16" s="301"/>
      <c r="W16" s="301"/>
      <c r="X16" s="301"/>
      <c r="Y16" s="301"/>
      <c r="Z16" s="250">
        <f t="shared" si="11"/>
        <v>0</v>
      </c>
      <c r="AA16" s="184">
        <f t="shared" si="14"/>
        <v>0</v>
      </c>
      <c r="AB16" s="332">
        <v>0</v>
      </c>
      <c r="AC16" s="301">
        <f>'deduct list'!U18</f>
        <v>0</v>
      </c>
      <c r="AD16" s="330">
        <f t="shared" ref="AD16:AD21" si="18">SUM(AA16:AB16)+AC16</f>
        <v>0</v>
      </c>
      <c r="AE16" s="377"/>
      <c r="AF16" s="386"/>
      <c r="AG16" s="40"/>
    </row>
    <row r="17" spans="1:33" ht="20.100000000000001" customHeight="1" x14ac:dyDescent="0.4">
      <c r="A17" s="298">
        <f t="shared" si="9"/>
        <v>10</v>
      </c>
      <c r="B17" s="383"/>
      <c r="C17" s="383"/>
      <c r="D17" s="287" t="s">
        <v>105</v>
      </c>
      <c r="E17" s="182"/>
      <c r="F17" s="318">
        <v>0</v>
      </c>
      <c r="G17" s="184">
        <f t="shared" si="0"/>
        <v>0</v>
      </c>
      <c r="H17" s="250"/>
      <c r="I17" s="184">
        <f t="shared" si="1"/>
        <v>0</v>
      </c>
      <c r="J17" s="184">
        <f t="shared" si="2"/>
        <v>0</v>
      </c>
      <c r="K17" s="184">
        <f t="shared" si="10"/>
        <v>0</v>
      </c>
      <c r="L17" s="184">
        <f t="shared" si="15"/>
        <v>0</v>
      </c>
      <c r="M17" s="310"/>
      <c r="N17" s="184">
        <f t="shared" si="4"/>
        <v>0</v>
      </c>
      <c r="O17" s="184">
        <f t="shared" si="5"/>
        <v>0</v>
      </c>
      <c r="P17" s="184">
        <v>0</v>
      </c>
      <c r="Q17" s="184">
        <f t="shared" si="16"/>
        <v>0</v>
      </c>
      <c r="R17" s="184">
        <f t="shared" si="17"/>
        <v>0</v>
      </c>
      <c r="S17" s="301"/>
      <c r="T17" s="301"/>
      <c r="U17" s="301"/>
      <c r="V17" s="301"/>
      <c r="W17" s="301"/>
      <c r="X17" s="301"/>
      <c r="Y17" s="301"/>
      <c r="Z17" s="250">
        <f t="shared" si="11"/>
        <v>0</v>
      </c>
      <c r="AA17" s="184">
        <f t="shared" si="14"/>
        <v>0</v>
      </c>
      <c r="AB17" s="332">
        <v>0</v>
      </c>
      <c r="AC17" s="301">
        <f>'deduct list'!U19</f>
        <v>0</v>
      </c>
      <c r="AD17" s="330">
        <f t="shared" si="18"/>
        <v>0</v>
      </c>
      <c r="AE17" s="377"/>
      <c r="AF17" s="386"/>
      <c r="AG17" s="40"/>
    </row>
    <row r="18" spans="1:33" s="143" customFormat="1" ht="19.5" customHeight="1" x14ac:dyDescent="0.4">
      <c r="A18" s="298">
        <f t="shared" si="9"/>
        <v>11</v>
      </c>
      <c r="B18" s="383"/>
      <c r="C18" s="383"/>
      <c r="D18" s="287" t="s">
        <v>118</v>
      </c>
      <c r="E18" s="184"/>
      <c r="F18" s="318">
        <v>0</v>
      </c>
      <c r="G18" s="184">
        <f t="shared" si="0"/>
        <v>0</v>
      </c>
      <c r="H18" s="251"/>
      <c r="I18" s="184">
        <f t="shared" si="1"/>
        <v>0</v>
      </c>
      <c r="J18" s="184">
        <f t="shared" si="2"/>
        <v>0</v>
      </c>
      <c r="K18" s="184">
        <f t="shared" si="10"/>
        <v>0</v>
      </c>
      <c r="L18" s="184">
        <f t="shared" si="15"/>
        <v>0</v>
      </c>
      <c r="M18" s="310"/>
      <c r="N18" s="184">
        <f t="shared" si="4"/>
        <v>0</v>
      </c>
      <c r="O18" s="184">
        <f t="shared" si="5"/>
        <v>0</v>
      </c>
      <c r="P18" s="184">
        <v>0</v>
      </c>
      <c r="Q18" s="184">
        <f t="shared" si="16"/>
        <v>0</v>
      </c>
      <c r="R18" s="184">
        <f t="shared" si="17"/>
        <v>0</v>
      </c>
      <c r="S18" s="301"/>
      <c r="T18" s="301"/>
      <c r="U18" s="301"/>
      <c r="V18" s="301"/>
      <c r="W18" s="301"/>
      <c r="X18" s="301"/>
      <c r="Y18" s="301"/>
      <c r="Z18" s="250">
        <f>SUM(R18:Y18)</f>
        <v>0</v>
      </c>
      <c r="AA18" s="184">
        <f t="shared" si="14"/>
        <v>0</v>
      </c>
      <c r="AB18" s="332">
        <v>0</v>
      </c>
      <c r="AC18" s="301">
        <f>'deduct list'!U20</f>
        <v>0</v>
      </c>
      <c r="AD18" s="330">
        <f t="shared" si="18"/>
        <v>0</v>
      </c>
      <c r="AE18" s="377"/>
      <c r="AF18" s="378"/>
      <c r="AG18" s="142"/>
    </row>
    <row r="19" spans="1:33" s="143" customFormat="1" ht="19.5" customHeight="1" x14ac:dyDescent="0.4">
      <c r="A19" s="298">
        <f t="shared" si="9"/>
        <v>12</v>
      </c>
      <c r="B19" s="429"/>
      <c r="C19" s="429"/>
      <c r="D19" s="287" t="s">
        <v>118</v>
      </c>
      <c r="E19" s="184"/>
      <c r="F19" s="318">
        <v>0</v>
      </c>
      <c r="G19" s="184">
        <f t="shared" si="0"/>
        <v>0</v>
      </c>
      <c r="H19" s="251"/>
      <c r="I19" s="184">
        <f t="shared" si="1"/>
        <v>0</v>
      </c>
      <c r="J19" s="184">
        <f t="shared" si="2"/>
        <v>0</v>
      </c>
      <c r="K19" s="184">
        <f t="shared" si="10"/>
        <v>0</v>
      </c>
      <c r="L19" s="184">
        <f t="shared" si="15"/>
        <v>0</v>
      </c>
      <c r="M19" s="310"/>
      <c r="N19" s="184">
        <f t="shared" si="4"/>
        <v>0</v>
      </c>
      <c r="O19" s="184">
        <f t="shared" si="5"/>
        <v>0</v>
      </c>
      <c r="P19" s="184">
        <v>0</v>
      </c>
      <c r="Q19" s="184">
        <f t="shared" si="16"/>
        <v>0</v>
      </c>
      <c r="R19" s="184">
        <f t="shared" si="17"/>
        <v>0</v>
      </c>
      <c r="S19" s="301"/>
      <c r="T19" s="301"/>
      <c r="U19" s="301"/>
      <c r="V19" s="301"/>
      <c r="W19" s="301"/>
      <c r="X19" s="301"/>
      <c r="Y19" s="301"/>
      <c r="Z19" s="250">
        <f>SUM(R19:Y19)</f>
        <v>0</v>
      </c>
      <c r="AA19" s="184">
        <f t="shared" si="14"/>
        <v>0</v>
      </c>
      <c r="AB19" s="332">
        <v>0</v>
      </c>
      <c r="AC19" s="301">
        <f>'deduct list'!U21</f>
        <v>0</v>
      </c>
      <c r="AD19" s="330">
        <f t="shared" si="18"/>
        <v>0</v>
      </c>
      <c r="AE19" s="377"/>
      <c r="AF19" s="378"/>
      <c r="AG19" s="142"/>
    </row>
    <row r="20" spans="1:33" s="143" customFormat="1" ht="19.5" customHeight="1" x14ac:dyDescent="0.4">
      <c r="A20" s="298">
        <f t="shared" si="9"/>
        <v>13</v>
      </c>
      <c r="B20" s="383"/>
      <c r="C20" s="383"/>
      <c r="D20" s="287" t="s">
        <v>118</v>
      </c>
      <c r="E20" s="184"/>
      <c r="F20" s="318">
        <v>0</v>
      </c>
      <c r="G20" s="184">
        <f t="shared" si="0"/>
        <v>0</v>
      </c>
      <c r="H20" s="251"/>
      <c r="I20" s="184">
        <f t="shared" si="1"/>
        <v>0</v>
      </c>
      <c r="J20" s="184">
        <f t="shared" si="2"/>
        <v>0</v>
      </c>
      <c r="K20" s="184">
        <f t="shared" si="10"/>
        <v>0</v>
      </c>
      <c r="L20" s="184">
        <f t="shared" si="15"/>
        <v>0</v>
      </c>
      <c r="M20" s="310"/>
      <c r="N20" s="184">
        <f t="shared" si="4"/>
        <v>0</v>
      </c>
      <c r="O20" s="184">
        <f t="shared" si="5"/>
        <v>0</v>
      </c>
      <c r="P20" s="184">
        <v>0</v>
      </c>
      <c r="Q20" s="184">
        <f t="shared" si="16"/>
        <v>0</v>
      </c>
      <c r="R20" s="184">
        <f t="shared" si="17"/>
        <v>0</v>
      </c>
      <c r="S20" s="301"/>
      <c r="T20" s="301"/>
      <c r="U20" s="301"/>
      <c r="V20" s="301"/>
      <c r="W20" s="301"/>
      <c r="X20" s="301"/>
      <c r="Y20" s="301"/>
      <c r="Z20" s="250">
        <f>SUM(R20:Y20)</f>
        <v>0</v>
      </c>
      <c r="AA20" s="184">
        <f t="shared" si="14"/>
        <v>0</v>
      </c>
      <c r="AB20" s="332">
        <v>0</v>
      </c>
      <c r="AC20" s="301">
        <f>'deduct list'!U24</f>
        <v>0</v>
      </c>
      <c r="AD20" s="330">
        <f t="shared" si="18"/>
        <v>0</v>
      </c>
      <c r="AE20" s="377"/>
      <c r="AF20" s="378"/>
      <c r="AG20" s="142"/>
    </row>
    <row r="21" spans="1:33" s="143" customFormat="1" ht="19.5" customHeight="1" x14ac:dyDescent="0.4">
      <c r="A21" s="298">
        <f t="shared" si="9"/>
        <v>14</v>
      </c>
      <c r="B21" s="385"/>
      <c r="C21" s="385"/>
      <c r="D21" s="287" t="s">
        <v>19</v>
      </c>
      <c r="E21" s="184"/>
      <c r="F21" s="318">
        <v>0</v>
      </c>
      <c r="G21" s="184">
        <f t="shared" si="0"/>
        <v>0</v>
      </c>
      <c r="H21" s="251"/>
      <c r="I21" s="184">
        <f t="shared" si="1"/>
        <v>0</v>
      </c>
      <c r="J21" s="184">
        <f t="shared" si="2"/>
        <v>0</v>
      </c>
      <c r="K21" s="184">
        <f t="shared" si="10"/>
        <v>0</v>
      </c>
      <c r="L21" s="184">
        <f t="shared" si="15"/>
        <v>0</v>
      </c>
      <c r="M21" s="310"/>
      <c r="N21" s="184">
        <f t="shared" si="4"/>
        <v>0</v>
      </c>
      <c r="O21" s="184">
        <f t="shared" si="5"/>
        <v>0</v>
      </c>
      <c r="P21" s="184">
        <v>0</v>
      </c>
      <c r="Q21" s="184">
        <f t="shared" si="16"/>
        <v>0</v>
      </c>
      <c r="R21" s="184">
        <f t="shared" si="17"/>
        <v>0</v>
      </c>
      <c r="S21" s="301"/>
      <c r="T21" s="301"/>
      <c r="U21" s="301"/>
      <c r="V21" s="301"/>
      <c r="W21" s="301"/>
      <c r="X21" s="301"/>
      <c r="Y21" s="301"/>
      <c r="Z21" s="250">
        <f>SUM(R21:Y21)</f>
        <v>0</v>
      </c>
      <c r="AA21" s="184">
        <f t="shared" si="14"/>
        <v>0</v>
      </c>
      <c r="AB21" s="332">
        <v>0</v>
      </c>
      <c r="AC21" s="301">
        <f>'deduct list'!U25</f>
        <v>0</v>
      </c>
      <c r="AD21" s="330">
        <f t="shared" si="18"/>
        <v>0</v>
      </c>
      <c r="AE21" s="377"/>
      <c r="AF21" s="378"/>
      <c r="AG21" s="142"/>
    </row>
    <row r="22" spans="1:33" s="143" customFormat="1" ht="19.5" customHeight="1" x14ac:dyDescent="0.4">
      <c r="A22" s="298">
        <f t="shared" si="9"/>
        <v>15</v>
      </c>
      <c r="B22" s="383"/>
      <c r="C22" s="383"/>
      <c r="D22" s="287" t="s">
        <v>19</v>
      </c>
      <c r="E22" s="184"/>
      <c r="F22" s="318">
        <v>0</v>
      </c>
      <c r="G22" s="184">
        <f t="shared" si="0"/>
        <v>0</v>
      </c>
      <c r="H22" s="251"/>
      <c r="I22" s="184">
        <f t="shared" si="1"/>
        <v>0</v>
      </c>
      <c r="J22" s="184">
        <f t="shared" si="2"/>
        <v>0</v>
      </c>
      <c r="K22" s="184">
        <f t="shared" si="10"/>
        <v>0</v>
      </c>
      <c r="L22" s="184">
        <f t="shared" ref="L22:L31" si="19">M73</f>
        <v>0</v>
      </c>
      <c r="M22" s="310"/>
      <c r="N22" s="184">
        <f t="shared" si="4"/>
        <v>0</v>
      </c>
      <c r="O22" s="184">
        <f t="shared" si="5"/>
        <v>0</v>
      </c>
      <c r="P22" s="184">
        <v>0</v>
      </c>
      <c r="Q22" s="184">
        <f t="shared" si="6"/>
        <v>0</v>
      </c>
      <c r="R22" s="184">
        <f t="shared" si="7"/>
        <v>0</v>
      </c>
      <c r="S22" s="301"/>
      <c r="T22" s="301"/>
      <c r="U22" s="301"/>
      <c r="V22" s="301"/>
      <c r="W22" s="301"/>
      <c r="X22" s="301"/>
      <c r="Y22" s="301"/>
      <c r="Z22" s="250">
        <f t="shared" si="11"/>
        <v>0</v>
      </c>
      <c r="AA22" s="184">
        <f t="shared" si="8"/>
        <v>0</v>
      </c>
      <c r="AB22" s="332">
        <v>0</v>
      </c>
      <c r="AC22" s="301">
        <f>'deduct list'!U24</f>
        <v>0</v>
      </c>
      <c r="AD22" s="330">
        <f t="shared" si="12"/>
        <v>0</v>
      </c>
      <c r="AE22" s="377"/>
      <c r="AF22" s="378"/>
      <c r="AG22" s="142"/>
    </row>
    <row r="23" spans="1:33" s="143" customFormat="1" ht="18.75" customHeight="1" x14ac:dyDescent="0.4">
      <c r="A23" s="298">
        <f t="shared" ref="A23:A31" si="20">A22+1</f>
        <v>16</v>
      </c>
      <c r="B23" s="385"/>
      <c r="C23" s="385"/>
      <c r="D23" s="287" t="s">
        <v>121</v>
      </c>
      <c r="E23" s="184"/>
      <c r="F23" s="318">
        <v>0</v>
      </c>
      <c r="G23" s="184">
        <f t="shared" si="0"/>
        <v>0</v>
      </c>
      <c r="H23" s="251"/>
      <c r="I23" s="184">
        <f t="shared" si="1"/>
        <v>0</v>
      </c>
      <c r="J23" s="184">
        <f t="shared" si="2"/>
        <v>0</v>
      </c>
      <c r="K23" s="184">
        <f t="shared" si="10"/>
        <v>0</v>
      </c>
      <c r="L23" s="184">
        <f t="shared" si="19"/>
        <v>0</v>
      </c>
      <c r="M23" s="310"/>
      <c r="N23" s="184">
        <f t="shared" si="4"/>
        <v>0</v>
      </c>
      <c r="O23" s="184">
        <f t="shared" si="5"/>
        <v>0</v>
      </c>
      <c r="P23" s="184">
        <f t="shared" si="13"/>
        <v>0</v>
      </c>
      <c r="Q23" s="184">
        <f t="shared" si="6"/>
        <v>0</v>
      </c>
      <c r="R23" s="184">
        <f t="shared" si="7"/>
        <v>0</v>
      </c>
      <c r="S23" s="301"/>
      <c r="T23" s="301"/>
      <c r="U23" s="301"/>
      <c r="V23" s="301"/>
      <c r="W23" s="301"/>
      <c r="X23" s="301"/>
      <c r="Y23" s="301"/>
      <c r="Z23" s="250">
        <f t="shared" si="11"/>
        <v>0</v>
      </c>
      <c r="AA23" s="184">
        <f>Q23-Z23</f>
        <v>0</v>
      </c>
      <c r="AB23" s="332">
        <v>0</v>
      </c>
      <c r="AC23" s="301">
        <f>'deduct list'!U25</f>
        <v>0</v>
      </c>
      <c r="AD23" s="330">
        <f t="shared" si="12"/>
        <v>0</v>
      </c>
      <c r="AE23" s="377"/>
      <c r="AF23" s="378"/>
      <c r="AG23" s="142"/>
    </row>
    <row r="24" spans="1:33" s="143" customFormat="1" ht="18.75" customHeight="1" x14ac:dyDescent="0.4">
      <c r="A24" s="298">
        <v>17</v>
      </c>
      <c r="B24" s="429"/>
      <c r="C24" s="429"/>
      <c r="D24" s="287" t="s">
        <v>121</v>
      </c>
      <c r="E24" s="184"/>
      <c r="F24" s="318">
        <v>0</v>
      </c>
      <c r="G24" s="184">
        <f t="shared" si="0"/>
        <v>0</v>
      </c>
      <c r="H24" s="251"/>
      <c r="I24" s="184">
        <f t="shared" si="1"/>
        <v>0</v>
      </c>
      <c r="J24" s="184">
        <f t="shared" si="2"/>
        <v>0</v>
      </c>
      <c r="K24" s="184">
        <f t="shared" si="10"/>
        <v>0</v>
      </c>
      <c r="L24" s="184">
        <f t="shared" si="19"/>
        <v>0</v>
      </c>
      <c r="M24" s="310"/>
      <c r="N24" s="184">
        <f t="shared" si="4"/>
        <v>0</v>
      </c>
      <c r="O24" s="184">
        <f t="shared" si="5"/>
        <v>0</v>
      </c>
      <c r="P24" s="184">
        <f t="shared" si="13"/>
        <v>0</v>
      </c>
      <c r="Q24" s="184">
        <f t="shared" si="6"/>
        <v>0</v>
      </c>
      <c r="R24" s="184">
        <f t="shared" si="7"/>
        <v>0</v>
      </c>
      <c r="S24" s="301"/>
      <c r="T24" s="301"/>
      <c r="U24" s="301"/>
      <c r="V24" s="301"/>
      <c r="W24" s="301"/>
      <c r="X24" s="301"/>
      <c r="Y24" s="301"/>
      <c r="Z24" s="250">
        <f t="shared" si="11"/>
        <v>0</v>
      </c>
      <c r="AA24" s="184">
        <f t="shared" si="8"/>
        <v>0</v>
      </c>
      <c r="AB24" s="332">
        <v>0</v>
      </c>
      <c r="AC24" s="301">
        <f>'deduct list'!U26</f>
        <v>0</v>
      </c>
      <c r="AD24" s="330">
        <f t="shared" si="12"/>
        <v>0</v>
      </c>
      <c r="AE24" s="377"/>
      <c r="AF24" s="378"/>
      <c r="AG24" s="142"/>
    </row>
    <row r="25" spans="1:33" s="143" customFormat="1" ht="18.75" customHeight="1" x14ac:dyDescent="0.4">
      <c r="A25" s="298">
        <f t="shared" si="20"/>
        <v>18</v>
      </c>
      <c r="B25" s="429"/>
      <c r="C25" s="429"/>
      <c r="D25" s="287" t="s">
        <v>121</v>
      </c>
      <c r="E25" s="184"/>
      <c r="F25" s="318">
        <v>0</v>
      </c>
      <c r="G25" s="184">
        <f t="shared" si="0"/>
        <v>0</v>
      </c>
      <c r="H25" s="251"/>
      <c r="I25" s="184">
        <f t="shared" si="1"/>
        <v>0</v>
      </c>
      <c r="J25" s="184">
        <f t="shared" si="2"/>
        <v>0</v>
      </c>
      <c r="K25" s="184">
        <f t="shared" si="10"/>
        <v>0</v>
      </c>
      <c r="L25" s="184">
        <f t="shared" si="19"/>
        <v>0</v>
      </c>
      <c r="M25" s="310"/>
      <c r="N25" s="184">
        <f t="shared" si="4"/>
        <v>0</v>
      </c>
      <c r="O25" s="184">
        <f t="shared" si="5"/>
        <v>0</v>
      </c>
      <c r="P25" s="184">
        <f t="shared" si="13"/>
        <v>0</v>
      </c>
      <c r="Q25" s="184">
        <f t="shared" si="6"/>
        <v>0</v>
      </c>
      <c r="R25" s="184">
        <f t="shared" si="7"/>
        <v>0</v>
      </c>
      <c r="S25" s="301"/>
      <c r="T25" s="301"/>
      <c r="U25" s="301"/>
      <c r="V25" s="301"/>
      <c r="W25" s="301"/>
      <c r="X25" s="301"/>
      <c r="Y25" s="301"/>
      <c r="Z25" s="250">
        <f t="shared" si="11"/>
        <v>0</v>
      </c>
      <c r="AA25" s="184">
        <f t="shared" ref="AA25:AA31" si="21">Q25-Z25</f>
        <v>0</v>
      </c>
      <c r="AB25" s="332">
        <v>0</v>
      </c>
      <c r="AC25" s="301">
        <f>'deduct list'!U27</f>
        <v>0</v>
      </c>
      <c r="AD25" s="330">
        <f t="shared" si="12"/>
        <v>0</v>
      </c>
      <c r="AE25" s="377"/>
      <c r="AF25" s="378"/>
      <c r="AG25" s="142"/>
    </row>
    <row r="26" spans="1:33" s="143" customFormat="1" ht="18.75" customHeight="1" x14ac:dyDescent="0.4">
      <c r="A26" s="298">
        <f t="shared" si="20"/>
        <v>19</v>
      </c>
      <c r="B26" s="383"/>
      <c r="C26" s="383"/>
      <c r="D26" s="287" t="s">
        <v>96</v>
      </c>
      <c r="E26" s="184"/>
      <c r="F26" s="318">
        <v>0</v>
      </c>
      <c r="G26" s="184">
        <f t="shared" si="0"/>
        <v>0</v>
      </c>
      <c r="H26" s="251"/>
      <c r="I26" s="184">
        <f t="shared" si="1"/>
        <v>0</v>
      </c>
      <c r="J26" s="184">
        <f t="shared" si="2"/>
        <v>0</v>
      </c>
      <c r="K26" s="184">
        <f t="shared" si="10"/>
        <v>0</v>
      </c>
      <c r="L26" s="184">
        <f t="shared" si="19"/>
        <v>0</v>
      </c>
      <c r="M26" s="310"/>
      <c r="N26" s="184">
        <f t="shared" si="4"/>
        <v>0</v>
      </c>
      <c r="O26" s="184">
        <f t="shared" si="5"/>
        <v>0</v>
      </c>
      <c r="P26" s="184">
        <f t="shared" si="13"/>
        <v>0</v>
      </c>
      <c r="Q26" s="184">
        <f t="shared" si="6"/>
        <v>0</v>
      </c>
      <c r="R26" s="184">
        <f t="shared" si="7"/>
        <v>0</v>
      </c>
      <c r="S26" s="301"/>
      <c r="T26" s="301"/>
      <c r="U26" s="301"/>
      <c r="V26" s="301"/>
      <c r="W26" s="301"/>
      <c r="X26" s="301"/>
      <c r="Y26" s="301"/>
      <c r="Z26" s="250">
        <f t="shared" si="11"/>
        <v>0</v>
      </c>
      <c r="AA26" s="184">
        <f t="shared" si="21"/>
        <v>0</v>
      </c>
      <c r="AB26" s="332">
        <v>0</v>
      </c>
      <c r="AC26" s="301">
        <f>'deduct list'!U28</f>
        <v>0</v>
      </c>
      <c r="AD26" s="330">
        <f t="shared" si="12"/>
        <v>0</v>
      </c>
      <c r="AE26" s="377"/>
      <c r="AF26" s="378"/>
      <c r="AG26" s="142"/>
    </row>
    <row r="27" spans="1:33" s="143" customFormat="1" ht="18.75" customHeight="1" x14ac:dyDescent="0.4">
      <c r="A27" s="298">
        <f t="shared" si="20"/>
        <v>20</v>
      </c>
      <c r="B27" s="383"/>
      <c r="C27" s="383"/>
      <c r="D27" s="287" t="s">
        <v>119</v>
      </c>
      <c r="E27" s="184"/>
      <c r="F27" s="318">
        <v>0</v>
      </c>
      <c r="G27" s="184">
        <f t="shared" si="0"/>
        <v>0</v>
      </c>
      <c r="H27" s="251"/>
      <c r="I27" s="184">
        <f t="shared" si="1"/>
        <v>0</v>
      </c>
      <c r="J27" s="184">
        <f t="shared" si="2"/>
        <v>0</v>
      </c>
      <c r="K27" s="184">
        <f t="shared" si="10"/>
        <v>0</v>
      </c>
      <c r="L27" s="184">
        <f t="shared" si="19"/>
        <v>0</v>
      </c>
      <c r="M27" s="310"/>
      <c r="N27" s="184">
        <f t="shared" si="4"/>
        <v>0</v>
      </c>
      <c r="O27" s="184">
        <f t="shared" si="5"/>
        <v>0</v>
      </c>
      <c r="P27" s="184">
        <v>0</v>
      </c>
      <c r="Q27" s="184">
        <f t="shared" si="6"/>
        <v>0</v>
      </c>
      <c r="R27" s="184">
        <f t="shared" si="7"/>
        <v>0</v>
      </c>
      <c r="S27" s="301"/>
      <c r="T27" s="301"/>
      <c r="U27" s="301"/>
      <c r="V27" s="301"/>
      <c r="W27" s="301"/>
      <c r="X27" s="301"/>
      <c r="Y27" s="301"/>
      <c r="Z27" s="250">
        <f t="shared" si="11"/>
        <v>0</v>
      </c>
      <c r="AA27" s="184">
        <f t="shared" si="21"/>
        <v>0</v>
      </c>
      <c r="AB27" s="332">
        <v>0</v>
      </c>
      <c r="AC27" s="301">
        <f>'deduct list'!U29</f>
        <v>0</v>
      </c>
      <c r="AD27" s="330">
        <f t="shared" si="12"/>
        <v>0</v>
      </c>
      <c r="AE27" s="377"/>
      <c r="AF27" s="378"/>
      <c r="AG27" s="142"/>
    </row>
    <row r="28" spans="1:33" ht="18.75" customHeight="1" x14ac:dyDescent="0.4">
      <c r="A28" s="298">
        <f t="shared" si="20"/>
        <v>21</v>
      </c>
      <c r="B28" s="383"/>
      <c r="C28" s="383"/>
      <c r="D28" s="287" t="s">
        <v>129</v>
      </c>
      <c r="E28" s="182"/>
      <c r="F28" s="318">
        <v>0</v>
      </c>
      <c r="G28" s="184">
        <f t="shared" si="0"/>
        <v>0</v>
      </c>
      <c r="H28" s="251"/>
      <c r="I28" s="184">
        <f t="shared" si="1"/>
        <v>0</v>
      </c>
      <c r="J28" s="184">
        <f t="shared" si="2"/>
        <v>0</v>
      </c>
      <c r="K28" s="184">
        <f t="shared" si="10"/>
        <v>0</v>
      </c>
      <c r="L28" s="275">
        <f t="shared" si="19"/>
        <v>0</v>
      </c>
      <c r="M28" s="310"/>
      <c r="N28" s="184">
        <f t="shared" si="4"/>
        <v>0</v>
      </c>
      <c r="O28" s="184">
        <f t="shared" si="5"/>
        <v>0</v>
      </c>
      <c r="P28" s="184">
        <f>N79/E79*F28</f>
        <v>0</v>
      </c>
      <c r="Q28" s="184">
        <f>G28+I28+J28+K28+L28+N28+O28+P28</f>
        <v>0</v>
      </c>
      <c r="R28" s="184">
        <f>N28</f>
        <v>0</v>
      </c>
      <c r="S28" s="301"/>
      <c r="T28" s="301"/>
      <c r="U28" s="301"/>
      <c r="V28" s="301"/>
      <c r="W28" s="301"/>
      <c r="X28" s="301"/>
      <c r="Y28" s="301"/>
      <c r="Z28" s="250">
        <f t="shared" si="11"/>
        <v>0</v>
      </c>
      <c r="AA28" s="184">
        <f>Q28-Z28</f>
        <v>0</v>
      </c>
      <c r="AB28" s="332">
        <v>0</v>
      </c>
      <c r="AC28" s="301">
        <f>'deduct list'!U30</f>
        <v>0</v>
      </c>
      <c r="AD28" s="330">
        <f>SUM(AA28:AB28)+AC28</f>
        <v>0</v>
      </c>
      <c r="AE28" s="377"/>
      <c r="AF28" s="386"/>
      <c r="AG28" s="40"/>
    </row>
    <row r="29" spans="1:33" ht="18.75" customHeight="1" x14ac:dyDescent="0.4">
      <c r="A29" s="298">
        <f t="shared" si="20"/>
        <v>22</v>
      </c>
      <c r="B29" s="383"/>
      <c r="C29" s="383"/>
      <c r="D29" s="287" t="s">
        <v>120</v>
      </c>
      <c r="E29" s="182"/>
      <c r="F29" s="318">
        <v>0</v>
      </c>
      <c r="G29" s="184">
        <f t="shared" si="0"/>
        <v>0</v>
      </c>
      <c r="H29" s="251"/>
      <c r="I29" s="184">
        <f t="shared" si="1"/>
        <v>0</v>
      </c>
      <c r="J29" s="184">
        <f t="shared" si="2"/>
        <v>0</v>
      </c>
      <c r="K29" s="184">
        <f t="shared" si="10"/>
        <v>0</v>
      </c>
      <c r="L29" s="184">
        <f t="shared" si="19"/>
        <v>0</v>
      </c>
      <c r="M29" s="310"/>
      <c r="N29" s="184">
        <f t="shared" si="4"/>
        <v>0</v>
      </c>
      <c r="O29" s="184">
        <f t="shared" si="5"/>
        <v>0</v>
      </c>
      <c r="P29" s="184">
        <v>0</v>
      </c>
      <c r="Q29" s="184">
        <f t="shared" si="6"/>
        <v>0</v>
      </c>
      <c r="R29" s="184">
        <f t="shared" si="7"/>
        <v>0</v>
      </c>
      <c r="S29" s="301"/>
      <c r="T29" s="301"/>
      <c r="U29" s="301"/>
      <c r="V29" s="301"/>
      <c r="W29" s="301"/>
      <c r="X29" s="301"/>
      <c r="Y29" s="301"/>
      <c r="Z29" s="250">
        <f t="shared" si="11"/>
        <v>0</v>
      </c>
      <c r="AA29" s="184">
        <f t="shared" si="21"/>
        <v>0</v>
      </c>
      <c r="AB29" s="332">
        <v>0</v>
      </c>
      <c r="AC29" s="301">
        <f>'deduct list'!U31</f>
        <v>0</v>
      </c>
      <c r="AD29" s="330">
        <f t="shared" si="12"/>
        <v>0</v>
      </c>
      <c r="AE29" s="377"/>
      <c r="AF29" s="386"/>
      <c r="AG29" s="40"/>
    </row>
    <row r="30" spans="1:33" ht="18.75" customHeight="1" x14ac:dyDescent="0.4">
      <c r="A30" s="298">
        <f t="shared" si="20"/>
        <v>23</v>
      </c>
      <c r="B30" s="383"/>
      <c r="C30" s="383"/>
      <c r="D30" s="287" t="s">
        <v>133</v>
      </c>
      <c r="E30" s="182"/>
      <c r="F30" s="318">
        <v>0</v>
      </c>
      <c r="G30" s="184">
        <f t="shared" si="0"/>
        <v>0</v>
      </c>
      <c r="H30" s="251"/>
      <c r="I30" s="184">
        <f t="shared" si="1"/>
        <v>0</v>
      </c>
      <c r="J30" s="184">
        <f t="shared" si="2"/>
        <v>0</v>
      </c>
      <c r="K30" s="184">
        <f t="shared" si="10"/>
        <v>0</v>
      </c>
      <c r="L30" s="275">
        <f t="shared" si="19"/>
        <v>0</v>
      </c>
      <c r="M30" s="310"/>
      <c r="N30" s="184">
        <f t="shared" si="4"/>
        <v>0</v>
      </c>
      <c r="O30" s="184">
        <f t="shared" si="5"/>
        <v>0</v>
      </c>
      <c r="P30" s="184">
        <f>N81/E81*F30</f>
        <v>0</v>
      </c>
      <c r="Q30" s="184">
        <f>G30+I30+J30+K30+L30+N30+O30+P30</f>
        <v>0</v>
      </c>
      <c r="R30" s="184">
        <f>N30</f>
        <v>0</v>
      </c>
      <c r="S30" s="301"/>
      <c r="T30" s="301"/>
      <c r="U30" s="301"/>
      <c r="V30" s="301"/>
      <c r="W30" s="301"/>
      <c r="X30" s="301"/>
      <c r="Y30" s="301"/>
      <c r="Z30" s="250">
        <f t="shared" si="11"/>
        <v>0</v>
      </c>
      <c r="AA30" s="184">
        <f t="shared" si="21"/>
        <v>0</v>
      </c>
      <c r="AB30" s="332">
        <v>0</v>
      </c>
      <c r="AC30" s="301">
        <f>'deduct list'!U32</f>
        <v>0</v>
      </c>
      <c r="AD30" s="330">
        <f t="shared" si="12"/>
        <v>0</v>
      </c>
      <c r="AE30" s="377"/>
      <c r="AF30" s="386"/>
      <c r="AG30" s="40"/>
    </row>
    <row r="31" spans="1:33" ht="18.75" customHeight="1" x14ac:dyDescent="0.4">
      <c r="A31" s="298">
        <f t="shared" si="20"/>
        <v>24</v>
      </c>
      <c r="B31" s="383"/>
      <c r="C31" s="383"/>
      <c r="D31" s="287" t="s">
        <v>134</v>
      </c>
      <c r="E31" s="182"/>
      <c r="F31" s="318">
        <v>0</v>
      </c>
      <c r="G31" s="184">
        <f t="shared" si="0"/>
        <v>0</v>
      </c>
      <c r="H31" s="251"/>
      <c r="I31" s="184">
        <f t="shared" si="1"/>
        <v>0</v>
      </c>
      <c r="J31" s="184">
        <f t="shared" si="2"/>
        <v>0</v>
      </c>
      <c r="K31" s="184">
        <f t="shared" si="10"/>
        <v>0</v>
      </c>
      <c r="L31" s="275">
        <f t="shared" si="19"/>
        <v>0</v>
      </c>
      <c r="M31" s="310"/>
      <c r="N31" s="184">
        <f t="shared" si="4"/>
        <v>0</v>
      </c>
      <c r="O31" s="184">
        <f t="shared" si="5"/>
        <v>0</v>
      </c>
      <c r="P31" s="184">
        <f>N82/E82*F31</f>
        <v>0</v>
      </c>
      <c r="Q31" s="184">
        <f>G31+I31+J31+K31+L31+N31+O31+P31</f>
        <v>0</v>
      </c>
      <c r="R31" s="184">
        <f>N31</f>
        <v>0</v>
      </c>
      <c r="S31" s="301"/>
      <c r="T31" s="301"/>
      <c r="U31" s="301"/>
      <c r="V31" s="301"/>
      <c r="W31" s="301"/>
      <c r="X31" s="301"/>
      <c r="Y31" s="301"/>
      <c r="Z31" s="250">
        <f t="shared" si="11"/>
        <v>0</v>
      </c>
      <c r="AA31" s="184">
        <f t="shared" si="21"/>
        <v>0</v>
      </c>
      <c r="AB31" s="332">
        <v>0</v>
      </c>
      <c r="AC31" s="301">
        <f>'deduct list'!U33</f>
        <v>0</v>
      </c>
      <c r="AD31" s="330">
        <f t="shared" si="12"/>
        <v>0</v>
      </c>
      <c r="AE31" s="377"/>
      <c r="AF31" s="386"/>
      <c r="AG31" s="40"/>
    </row>
    <row r="32" spans="1:33" ht="18.75" customHeight="1" x14ac:dyDescent="0.4">
      <c r="A32" s="299"/>
      <c r="B32" s="383"/>
      <c r="C32" s="383"/>
      <c r="D32" s="287"/>
      <c r="E32" s="182"/>
      <c r="F32" s="318"/>
      <c r="G32" s="184"/>
      <c r="H32" s="251"/>
      <c r="I32" s="184"/>
      <c r="J32" s="184"/>
      <c r="K32" s="184"/>
      <c r="L32" s="275"/>
      <c r="M32" s="310"/>
      <c r="N32" s="184"/>
      <c r="O32" s="184"/>
      <c r="P32" s="184"/>
      <c r="Q32" s="184"/>
      <c r="R32" s="184"/>
      <c r="S32" s="301"/>
      <c r="T32" s="301"/>
      <c r="U32" s="301"/>
      <c r="V32" s="301"/>
      <c r="W32" s="301"/>
      <c r="X32" s="301"/>
      <c r="Y32" s="301"/>
      <c r="Z32" s="250"/>
      <c r="AA32" s="184"/>
      <c r="AB32" s="301"/>
      <c r="AC32" s="301"/>
      <c r="AD32" s="330"/>
      <c r="AE32" s="377"/>
      <c r="AF32" s="386"/>
      <c r="AG32" s="40"/>
    </row>
    <row r="33" spans="1:33" ht="18.75" customHeight="1" x14ac:dyDescent="0.4">
      <c r="A33" s="299"/>
      <c r="B33" s="383"/>
      <c r="C33" s="383"/>
      <c r="D33" s="287"/>
      <c r="E33" s="182"/>
      <c r="F33" s="318"/>
      <c r="G33" s="184"/>
      <c r="H33" s="251"/>
      <c r="I33" s="184"/>
      <c r="J33" s="184"/>
      <c r="K33" s="184"/>
      <c r="L33" s="275"/>
      <c r="M33" s="310"/>
      <c r="N33" s="184"/>
      <c r="O33" s="184"/>
      <c r="P33" s="184"/>
      <c r="Q33" s="184"/>
      <c r="R33" s="184"/>
      <c r="S33" s="301"/>
      <c r="T33" s="301"/>
      <c r="U33" s="301"/>
      <c r="V33" s="301"/>
      <c r="W33" s="301"/>
      <c r="X33" s="301"/>
      <c r="Y33" s="301"/>
      <c r="Z33" s="250"/>
      <c r="AA33" s="184"/>
      <c r="AB33" s="301"/>
      <c r="AC33" s="301"/>
      <c r="AD33" s="330"/>
      <c r="AE33" s="377"/>
      <c r="AF33" s="386"/>
      <c r="AG33" s="40"/>
    </row>
    <row r="34" spans="1:33" ht="18.75" customHeight="1" x14ac:dyDescent="0.4">
      <c r="A34" s="299"/>
      <c r="B34" s="385"/>
      <c r="C34" s="385"/>
      <c r="D34" s="287"/>
      <c r="E34" s="182"/>
      <c r="F34" s="318"/>
      <c r="G34" s="184"/>
      <c r="H34" s="251"/>
      <c r="I34" s="184"/>
      <c r="J34" s="184"/>
      <c r="K34" s="184"/>
      <c r="L34" s="275"/>
      <c r="M34" s="310"/>
      <c r="N34" s="184"/>
      <c r="O34" s="184"/>
      <c r="P34" s="184"/>
      <c r="Q34" s="184"/>
      <c r="R34" s="184"/>
      <c r="S34" s="301"/>
      <c r="T34" s="301"/>
      <c r="U34" s="301"/>
      <c r="V34" s="301"/>
      <c r="W34" s="301"/>
      <c r="X34" s="301"/>
      <c r="Y34" s="301"/>
      <c r="Z34" s="250"/>
      <c r="AA34" s="184"/>
      <c r="AB34" s="301"/>
      <c r="AC34" s="301"/>
      <c r="AD34" s="330"/>
      <c r="AE34" s="377"/>
      <c r="AF34" s="386"/>
      <c r="AG34" s="40"/>
    </row>
    <row r="35" spans="1:33" ht="18.75" customHeight="1" thickBot="1" x14ac:dyDescent="0.45">
      <c r="A35" s="299"/>
      <c r="B35" s="385"/>
      <c r="C35" s="385"/>
      <c r="D35" s="287"/>
      <c r="E35" s="182"/>
      <c r="F35" s="318"/>
      <c r="G35" s="184"/>
      <c r="H35" s="251"/>
      <c r="I35" s="184"/>
      <c r="J35" s="184"/>
      <c r="K35" s="184"/>
      <c r="L35" s="275"/>
      <c r="M35" s="310"/>
      <c r="N35" s="184"/>
      <c r="O35" s="184"/>
      <c r="P35" s="184"/>
      <c r="Q35" s="184"/>
      <c r="R35" s="184"/>
      <c r="S35" s="301"/>
      <c r="T35" s="301"/>
      <c r="U35" s="301"/>
      <c r="V35" s="301"/>
      <c r="W35" s="301"/>
      <c r="X35" s="301"/>
      <c r="Y35" s="301"/>
      <c r="Z35" s="250"/>
      <c r="AA35" s="184"/>
      <c r="AB35" s="301"/>
      <c r="AC35" s="301"/>
      <c r="AD35" s="330"/>
      <c r="AE35" s="377"/>
      <c r="AF35" s="386"/>
      <c r="AG35" s="40"/>
    </row>
    <row r="36" spans="1:33" s="241" customFormat="1" ht="14.25" thickBot="1" x14ac:dyDescent="0.45">
      <c r="A36" s="237"/>
      <c r="B36" s="267" t="s">
        <v>97</v>
      </c>
      <c r="C36" s="268"/>
      <c r="D36" s="268"/>
      <c r="E36" s="268"/>
      <c r="F36" s="269"/>
      <c r="G36" s="238">
        <f>SUM(G8:G35)</f>
        <v>0</v>
      </c>
      <c r="H36" s="239"/>
      <c r="I36" s="296">
        <f>SUM(I8:I35)</f>
        <v>0</v>
      </c>
      <c r="J36" s="296">
        <f>SUM(J8:J35)</f>
        <v>0</v>
      </c>
      <c r="K36" s="296">
        <f>SUM(K8:K35)</f>
        <v>0</v>
      </c>
      <c r="L36" s="296">
        <f>SUM(L8:L35)</f>
        <v>0</v>
      </c>
      <c r="M36" s="327"/>
      <c r="N36" s="296">
        <f t="shared" ref="N36:AD36" si="22">SUM(N8:N35)</f>
        <v>0</v>
      </c>
      <c r="O36" s="296">
        <f t="shared" si="22"/>
        <v>0</v>
      </c>
      <c r="P36" s="296">
        <f t="shared" si="22"/>
        <v>0</v>
      </c>
      <c r="Q36" s="296">
        <f t="shared" si="22"/>
        <v>0</v>
      </c>
      <c r="R36" s="296">
        <f t="shared" si="22"/>
        <v>0</v>
      </c>
      <c r="S36" s="326">
        <f t="shared" si="22"/>
        <v>0</v>
      </c>
      <c r="T36" s="326">
        <f t="shared" si="22"/>
        <v>0</v>
      </c>
      <c r="U36" s="326">
        <f t="shared" si="22"/>
        <v>0</v>
      </c>
      <c r="V36" s="326">
        <f t="shared" si="22"/>
        <v>0</v>
      </c>
      <c r="W36" s="326">
        <f t="shared" si="22"/>
        <v>0</v>
      </c>
      <c r="X36" s="326">
        <f t="shared" si="22"/>
        <v>0</v>
      </c>
      <c r="Y36" s="326">
        <f t="shared" si="22"/>
        <v>0</v>
      </c>
      <c r="Z36" s="326">
        <f t="shared" si="22"/>
        <v>0</v>
      </c>
      <c r="AA36" s="326">
        <f t="shared" si="22"/>
        <v>0</v>
      </c>
      <c r="AB36" s="328">
        <f>SUM(AB8:AB35)</f>
        <v>0</v>
      </c>
      <c r="AC36" s="326">
        <f t="shared" si="22"/>
        <v>0</v>
      </c>
      <c r="AD36" s="326">
        <f t="shared" si="22"/>
        <v>0</v>
      </c>
      <c r="AE36" s="379"/>
      <c r="AF36" s="380"/>
      <c r="AG36" s="240"/>
    </row>
    <row r="37" spans="1:33" ht="13.15" x14ac:dyDescent="0.4">
      <c r="D37" s="15" t="s">
        <v>20</v>
      </c>
      <c r="F37" s="31"/>
      <c r="G37" s="31"/>
      <c r="H37" s="31"/>
      <c r="I37" s="31"/>
      <c r="J37" s="31"/>
      <c r="K37" s="31"/>
      <c r="L37" s="31"/>
      <c r="M37" s="14"/>
      <c r="N37" s="14"/>
      <c r="O37" s="14"/>
      <c r="P37" s="14"/>
      <c r="Q37" s="14"/>
      <c r="R37" s="14"/>
      <c r="S37" s="14"/>
      <c r="T37" s="14" t="s">
        <v>107</v>
      </c>
      <c r="U37" s="14"/>
      <c r="V37" s="14"/>
    </row>
    <row r="38" spans="1:33" ht="13.5" thickBot="1" x14ac:dyDescent="0.45">
      <c r="E38" s="1"/>
      <c r="L38" s="31"/>
      <c r="T38" s="143" t="s">
        <v>125</v>
      </c>
    </row>
    <row r="39" spans="1:33" ht="14.25" thickBot="1" x14ac:dyDescent="0.45">
      <c r="A39" s="125"/>
      <c r="B39" s="126"/>
      <c r="C39" s="374"/>
      <c r="D39" s="8"/>
      <c r="E39" s="9"/>
      <c r="F39" s="125"/>
      <c r="G39" s="130" t="s">
        <v>6</v>
      </c>
      <c r="H39" s="131" t="s">
        <v>5</v>
      </c>
      <c r="I39" s="132"/>
      <c r="J39" s="132"/>
      <c r="K39" s="132"/>
      <c r="L39" s="130" t="s">
        <v>9</v>
      </c>
      <c r="M39" s="132"/>
      <c r="N39" s="133" t="s">
        <v>21</v>
      </c>
      <c r="O39" s="133"/>
      <c r="P39" s="133"/>
      <c r="Q39" s="134"/>
      <c r="R39" s="10"/>
      <c r="S39" s="10"/>
      <c r="U39" s="125"/>
      <c r="V39" s="130" t="s">
        <v>6</v>
      </c>
      <c r="W39" s="131" t="s">
        <v>5</v>
      </c>
      <c r="X39" s="132"/>
      <c r="Y39" s="132"/>
      <c r="Z39" s="130" t="s">
        <v>9</v>
      </c>
      <c r="AA39" s="131" t="s">
        <v>21</v>
      </c>
      <c r="AB39" s="132"/>
      <c r="AC39" s="132"/>
      <c r="AD39" s="134"/>
    </row>
    <row r="40" spans="1:33" ht="13.5" thickBot="1" x14ac:dyDescent="0.45">
      <c r="A40" s="123" t="s">
        <v>22</v>
      </c>
      <c r="B40" s="124" t="s">
        <v>23</v>
      </c>
      <c r="C40" s="17"/>
      <c r="D40" s="8"/>
      <c r="E40" s="8"/>
      <c r="F40" s="128"/>
      <c r="G40" s="18"/>
      <c r="H40" s="19"/>
      <c r="I40" s="20"/>
      <c r="J40" s="18"/>
      <c r="K40" s="18"/>
      <c r="L40" s="41"/>
      <c r="M40" s="18"/>
      <c r="N40" s="20"/>
      <c r="O40" s="20"/>
      <c r="P40" s="20"/>
      <c r="Q40" s="22"/>
      <c r="R40" s="11"/>
      <c r="S40" s="11"/>
      <c r="U40" s="135"/>
      <c r="V40" s="28"/>
      <c r="W40" s="390"/>
      <c r="X40" s="391"/>
      <c r="Y40" s="392"/>
      <c r="Z40" s="41"/>
      <c r="AA40" s="79"/>
      <c r="AB40" s="20"/>
      <c r="AC40" s="18"/>
      <c r="AD40" s="21"/>
    </row>
    <row r="41" spans="1:33" ht="13.15" x14ac:dyDescent="0.4">
      <c r="A41" s="123" t="s">
        <v>24</v>
      </c>
      <c r="B41" s="126"/>
      <c r="C41" s="16"/>
      <c r="D41" s="8"/>
      <c r="E41" s="8"/>
      <c r="F41" s="129" t="s">
        <v>25</v>
      </c>
      <c r="G41" s="18"/>
      <c r="H41" s="23"/>
      <c r="I41" s="18"/>
      <c r="J41" s="18"/>
      <c r="K41" s="18"/>
      <c r="L41" s="41"/>
      <c r="M41" s="18"/>
      <c r="N41" s="75"/>
      <c r="O41" s="18"/>
      <c r="P41" s="18"/>
      <c r="Q41" s="76"/>
      <c r="R41" s="12"/>
      <c r="S41" s="12"/>
      <c r="U41" s="136" t="s">
        <v>25</v>
      </c>
      <c r="V41" s="28"/>
      <c r="W41" s="397"/>
      <c r="X41" s="388"/>
      <c r="Y41" s="389"/>
      <c r="Z41" s="41"/>
      <c r="AA41" s="78"/>
      <c r="AB41" s="18"/>
      <c r="AC41" s="18"/>
      <c r="AD41" s="21"/>
    </row>
    <row r="42" spans="1:33" ht="13.5" thickBot="1" x14ac:dyDescent="0.45">
      <c r="A42" s="123" t="s">
        <v>26</v>
      </c>
      <c r="B42" s="124" t="s">
        <v>27</v>
      </c>
      <c r="C42" s="17"/>
      <c r="D42" s="8"/>
      <c r="E42" s="8"/>
      <c r="F42" s="128"/>
      <c r="G42" s="18"/>
      <c r="H42" s="23"/>
      <c r="I42" s="18"/>
      <c r="J42" s="18"/>
      <c r="K42" s="18"/>
      <c r="L42" s="41"/>
      <c r="M42" s="18"/>
      <c r="N42" s="75"/>
      <c r="O42" s="75"/>
      <c r="P42" s="75"/>
      <c r="Q42" s="76"/>
      <c r="R42" s="10"/>
      <c r="S42" s="10"/>
      <c r="U42" s="128"/>
      <c r="V42" s="28"/>
      <c r="W42" s="387"/>
      <c r="X42" s="388"/>
      <c r="Y42" s="389"/>
      <c r="Z42" s="63"/>
      <c r="AA42" s="78"/>
      <c r="AB42" s="18"/>
      <c r="AC42" s="18"/>
      <c r="AD42" s="21"/>
    </row>
    <row r="43" spans="1:33" ht="13.15" x14ac:dyDescent="0.4">
      <c r="A43" s="123"/>
      <c r="B43" s="126"/>
      <c r="C43" s="16"/>
      <c r="D43" s="8"/>
      <c r="E43" s="8"/>
      <c r="F43" s="128"/>
      <c r="G43" s="18"/>
      <c r="H43" s="23"/>
      <c r="I43" s="18"/>
      <c r="J43" s="18"/>
      <c r="K43" s="18"/>
      <c r="L43" s="41"/>
      <c r="M43" s="18"/>
      <c r="N43" s="75"/>
      <c r="O43" s="75"/>
      <c r="P43" s="75"/>
      <c r="Q43" s="76"/>
      <c r="R43" s="10"/>
      <c r="S43" s="10"/>
      <c r="U43" s="128"/>
      <c r="V43" s="28"/>
      <c r="W43" s="23"/>
      <c r="X43" s="18"/>
      <c r="Y43" s="18"/>
      <c r="Z43" s="29"/>
      <c r="AA43" s="23"/>
      <c r="AB43" s="18"/>
      <c r="AC43" s="18"/>
      <c r="AD43" s="21"/>
    </row>
    <row r="44" spans="1:33" ht="13.5" thickBot="1" x14ac:dyDescent="0.45">
      <c r="A44" s="127"/>
      <c r="B44" s="124" t="s">
        <v>28</v>
      </c>
      <c r="C44" s="17"/>
      <c r="D44" s="8"/>
      <c r="E44" s="8"/>
      <c r="F44" s="127"/>
      <c r="G44" s="24"/>
      <c r="H44" s="25"/>
      <c r="I44" s="24"/>
      <c r="J44" s="26"/>
      <c r="K44" s="26"/>
      <c r="L44" s="68"/>
      <c r="M44" s="26"/>
      <c r="N44" s="26"/>
      <c r="O44" s="26"/>
      <c r="P44" s="26"/>
      <c r="Q44" s="77"/>
      <c r="R44" s="10"/>
      <c r="S44" s="10"/>
      <c r="U44" s="127"/>
      <c r="V44" s="17"/>
      <c r="W44" s="25"/>
      <c r="X44" s="24"/>
      <c r="Y44" s="24"/>
      <c r="Z44" s="30"/>
      <c r="AA44" s="25"/>
      <c r="AB44" s="24"/>
      <c r="AC44" s="24"/>
      <c r="AD44" s="27"/>
    </row>
    <row r="45" spans="1:33" hidden="1" x14ac:dyDescent="0.35">
      <c r="C45" t="s">
        <v>18</v>
      </c>
    </row>
    <row r="49" spans="1:38" ht="27" customHeight="1" x14ac:dyDescent="0.35">
      <c r="A49" s="4"/>
      <c r="B49" s="5"/>
      <c r="C49" s="5"/>
      <c r="D49" s="5" t="s">
        <v>88</v>
      </c>
      <c r="E49" s="5"/>
      <c r="F49" s="5"/>
      <c r="G49" s="5"/>
      <c r="H49" s="5"/>
      <c r="I49" s="5"/>
      <c r="J49" s="5"/>
      <c r="K49" s="5"/>
      <c r="L49" s="5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6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7"/>
      <c r="AL49" s="7"/>
    </row>
    <row r="50" spans="1:38" x14ac:dyDescent="0.35">
      <c r="O50" s="145"/>
      <c r="P50" s="145"/>
      <c r="Q50" s="145" t="s">
        <v>128</v>
      </c>
    </row>
    <row r="51" spans="1:38" ht="15" x14ac:dyDescent="0.4">
      <c r="A51" s="64"/>
      <c r="O51" s="139"/>
      <c r="P51" s="139"/>
      <c r="Q51" s="139"/>
    </row>
    <row r="52" spans="1:38" x14ac:dyDescent="0.35">
      <c r="O52" s="98"/>
      <c r="P52" s="98"/>
      <c r="Q52" s="98" t="s">
        <v>95</v>
      </c>
    </row>
    <row r="54" spans="1:38" ht="15" x14ac:dyDescent="0.4">
      <c r="A54" s="32" t="s">
        <v>130</v>
      </c>
    </row>
    <row r="55" spans="1:38" x14ac:dyDescent="0.35">
      <c r="Q55" s="272"/>
    </row>
    <row r="56" spans="1:38" ht="15" x14ac:dyDescent="0.4">
      <c r="A56" s="186"/>
      <c r="B56" s="187"/>
      <c r="C56" s="187"/>
      <c r="D56" s="187"/>
      <c r="E56" s="188" t="s">
        <v>29</v>
      </c>
      <c r="F56" s="187"/>
      <c r="G56" s="189"/>
      <c r="H56" s="190"/>
      <c r="I56" s="187"/>
      <c r="J56" s="189"/>
      <c r="K56" s="187"/>
      <c r="L56" s="381" t="s">
        <v>115</v>
      </c>
      <c r="M56" s="382"/>
      <c r="N56" s="279"/>
      <c r="O56" s="277"/>
      <c r="P56" s="277"/>
      <c r="Q56" s="272"/>
      <c r="S56" s="66"/>
      <c r="T56" s="137"/>
      <c r="U56" s="138"/>
      <c r="V56" s="40"/>
    </row>
    <row r="57" spans="1:38" x14ac:dyDescent="0.35">
      <c r="A57" s="193" t="s">
        <v>4</v>
      </c>
      <c r="B57" s="194" t="s">
        <v>5</v>
      </c>
      <c r="C57" s="194"/>
      <c r="D57" s="195" t="s">
        <v>6</v>
      </c>
      <c r="E57" s="196" t="s">
        <v>31</v>
      </c>
      <c r="F57" s="197" t="s">
        <v>7</v>
      </c>
      <c r="G57" s="198" t="s">
        <v>72</v>
      </c>
      <c r="H57" s="197" t="s">
        <v>10</v>
      </c>
      <c r="I57" s="194" t="s">
        <v>11</v>
      </c>
      <c r="J57" s="199" t="s">
        <v>14</v>
      </c>
      <c r="K57" s="195" t="str">
        <f>K5</f>
        <v>ALLOWANCE</v>
      </c>
      <c r="L57" s="200" t="s">
        <v>43</v>
      </c>
      <c r="M57" s="276" t="s">
        <v>116</v>
      </c>
      <c r="N57" s="201" t="str">
        <f>P6</f>
        <v>Bonus &amp; Extras</v>
      </c>
      <c r="O57" s="278"/>
      <c r="P57" s="278"/>
      <c r="Q57" s="272"/>
    </row>
    <row r="58" spans="1:38" ht="16.5" customHeight="1" x14ac:dyDescent="0.35">
      <c r="A58" s="193"/>
      <c r="B58" s="202"/>
      <c r="C58" s="202"/>
      <c r="D58" s="202"/>
      <c r="E58" s="196" t="s">
        <v>8</v>
      </c>
      <c r="F58" s="303"/>
      <c r="G58" s="304"/>
      <c r="H58" s="304"/>
      <c r="I58" s="305"/>
      <c r="J58" s="306"/>
      <c r="K58" s="305"/>
      <c r="L58" s="306"/>
      <c r="M58" s="203"/>
      <c r="N58" s="203"/>
      <c r="O58" s="204"/>
      <c r="P58" s="204"/>
      <c r="Q58" s="272"/>
    </row>
    <row r="59" spans="1:38" ht="15" customHeight="1" x14ac:dyDescent="0.4">
      <c r="A59" s="205">
        <v>1</v>
      </c>
      <c r="B59" s="384">
        <f t="shared" ref="B59:B67" si="23">B8</f>
        <v>0</v>
      </c>
      <c r="C59" s="384"/>
      <c r="D59" s="287" t="str">
        <f t="shared" ref="D59:D67" si="24">D8</f>
        <v>Master</v>
      </c>
      <c r="E59" s="183" t="s">
        <v>70</v>
      </c>
      <c r="F59" s="307"/>
      <c r="G59" s="307"/>
      <c r="H59" s="307"/>
      <c r="I59" s="307"/>
      <c r="J59" s="307"/>
      <c r="K59" s="307"/>
      <c r="L59" s="308"/>
      <c r="M59" s="286">
        <f>(F59)/30*L59</f>
        <v>0</v>
      </c>
      <c r="N59" s="206"/>
      <c r="O59" s="286">
        <f t="shared" ref="O59:O80" si="25">SUM(F59:N59)-L59</f>
        <v>0</v>
      </c>
      <c r="P59" s="286"/>
      <c r="Q59" s="272"/>
      <c r="R59" s="65"/>
      <c r="S59" s="65"/>
    </row>
    <row r="60" spans="1:38" ht="15" customHeight="1" x14ac:dyDescent="0.4">
      <c r="A60" s="205">
        <f t="shared" ref="A60:A66" si="26">A59+1</f>
        <v>2</v>
      </c>
      <c r="B60" s="375">
        <f t="shared" si="23"/>
        <v>0</v>
      </c>
      <c r="C60" s="376"/>
      <c r="D60" s="287" t="str">
        <f t="shared" si="24"/>
        <v>Chief officer</v>
      </c>
      <c r="E60" s="183" t="s">
        <v>70</v>
      </c>
      <c r="F60" s="307"/>
      <c r="G60" s="307"/>
      <c r="H60" s="307"/>
      <c r="I60" s="307"/>
      <c r="J60" s="307"/>
      <c r="K60" s="307"/>
      <c r="L60" s="308"/>
      <c r="M60" s="286">
        <f t="shared" ref="M60:M85" si="27">(F60)/30*L60</f>
        <v>0</v>
      </c>
      <c r="N60" s="206"/>
      <c r="O60" s="286">
        <f t="shared" si="25"/>
        <v>0</v>
      </c>
      <c r="P60" s="286"/>
      <c r="Q60" s="272"/>
      <c r="R60" s="65"/>
      <c r="S60" s="65"/>
    </row>
    <row r="61" spans="1:38" ht="15.75" customHeight="1" x14ac:dyDescent="0.4">
      <c r="A61" s="205">
        <f t="shared" si="26"/>
        <v>3</v>
      </c>
      <c r="B61" s="375">
        <f t="shared" si="23"/>
        <v>0</v>
      </c>
      <c r="C61" s="376"/>
      <c r="D61" s="287" t="str">
        <f t="shared" si="24"/>
        <v>2nd Officer</v>
      </c>
      <c r="E61" s="183" t="s">
        <v>70</v>
      </c>
      <c r="F61" s="307"/>
      <c r="G61" s="307"/>
      <c r="H61" s="307"/>
      <c r="I61" s="307"/>
      <c r="J61" s="307"/>
      <c r="K61" s="307"/>
      <c r="L61" s="308"/>
      <c r="M61" s="286">
        <f t="shared" si="27"/>
        <v>0</v>
      </c>
      <c r="N61" s="206"/>
      <c r="O61" s="286">
        <f t="shared" si="25"/>
        <v>0</v>
      </c>
      <c r="P61" s="286"/>
      <c r="Q61" s="272"/>
      <c r="R61" s="65"/>
      <c r="S61" s="65"/>
    </row>
    <row r="62" spans="1:38" ht="15.75" customHeight="1" x14ac:dyDescent="0.4">
      <c r="A62" s="205">
        <f t="shared" si="26"/>
        <v>4</v>
      </c>
      <c r="B62" s="375">
        <f t="shared" si="23"/>
        <v>0</v>
      </c>
      <c r="C62" s="376"/>
      <c r="D62" s="287" t="str">
        <f t="shared" si="24"/>
        <v>3d Officer</v>
      </c>
      <c r="E62" s="183" t="s">
        <v>70</v>
      </c>
      <c r="F62" s="307"/>
      <c r="G62" s="307"/>
      <c r="H62" s="307"/>
      <c r="I62" s="307"/>
      <c r="J62" s="307"/>
      <c r="K62" s="307"/>
      <c r="L62" s="308"/>
      <c r="M62" s="286">
        <f t="shared" si="27"/>
        <v>0</v>
      </c>
      <c r="N62" s="206"/>
      <c r="O62" s="286">
        <f t="shared" si="25"/>
        <v>0</v>
      </c>
      <c r="P62" s="286"/>
      <c r="Q62" s="272"/>
      <c r="R62" s="65"/>
      <c r="S62" s="65"/>
    </row>
    <row r="63" spans="1:38" ht="17.25" customHeight="1" x14ac:dyDescent="0.4">
      <c r="A63" s="205">
        <f t="shared" si="26"/>
        <v>5</v>
      </c>
      <c r="B63" s="375">
        <f t="shared" si="23"/>
        <v>0</v>
      </c>
      <c r="C63" s="376"/>
      <c r="D63" s="287" t="str">
        <f t="shared" si="24"/>
        <v>Chief Engineer</v>
      </c>
      <c r="E63" s="183" t="s">
        <v>70</v>
      </c>
      <c r="F63" s="307"/>
      <c r="G63" s="307"/>
      <c r="H63" s="307"/>
      <c r="I63" s="307"/>
      <c r="J63" s="307"/>
      <c r="K63" s="307"/>
      <c r="L63" s="308"/>
      <c r="M63" s="286">
        <f t="shared" si="27"/>
        <v>0</v>
      </c>
      <c r="N63" s="206"/>
      <c r="O63" s="286">
        <f t="shared" si="25"/>
        <v>0</v>
      </c>
      <c r="P63" s="286"/>
      <c r="Q63" s="272"/>
      <c r="R63" s="65"/>
      <c r="S63" s="65"/>
    </row>
    <row r="64" spans="1:38" ht="17.25" customHeight="1" x14ac:dyDescent="0.4">
      <c r="A64" s="205">
        <f t="shared" si="26"/>
        <v>6</v>
      </c>
      <c r="B64" s="375">
        <f t="shared" si="23"/>
        <v>0</v>
      </c>
      <c r="C64" s="376"/>
      <c r="D64" s="287" t="str">
        <f t="shared" si="24"/>
        <v>2nd Engineer</v>
      </c>
      <c r="E64" s="183" t="s">
        <v>70</v>
      </c>
      <c r="F64" s="307"/>
      <c r="G64" s="307"/>
      <c r="H64" s="307"/>
      <c r="I64" s="307"/>
      <c r="J64" s="307"/>
      <c r="K64" s="307"/>
      <c r="L64" s="308"/>
      <c r="M64" s="286">
        <f t="shared" si="27"/>
        <v>0</v>
      </c>
      <c r="N64" s="314"/>
      <c r="O64" s="313">
        <f t="shared" si="25"/>
        <v>0</v>
      </c>
      <c r="P64" s="313"/>
      <c r="Q64" s="272"/>
      <c r="R64" s="65"/>
      <c r="S64" s="65"/>
    </row>
    <row r="65" spans="1:19" ht="18" customHeight="1" x14ac:dyDescent="0.4">
      <c r="A65" s="205">
        <f t="shared" si="26"/>
        <v>7</v>
      </c>
      <c r="B65" s="375">
        <f t="shared" si="23"/>
        <v>0</v>
      </c>
      <c r="C65" s="376"/>
      <c r="D65" s="287" t="str">
        <f t="shared" si="24"/>
        <v>3d Engineer</v>
      </c>
      <c r="E65" s="183" t="s">
        <v>70</v>
      </c>
      <c r="F65" s="307"/>
      <c r="G65" s="307"/>
      <c r="H65" s="307"/>
      <c r="I65" s="307"/>
      <c r="J65" s="307"/>
      <c r="K65" s="307"/>
      <c r="L65" s="308"/>
      <c r="M65" s="286">
        <f t="shared" si="27"/>
        <v>0</v>
      </c>
      <c r="N65" s="314"/>
      <c r="O65" s="313">
        <f t="shared" si="25"/>
        <v>0</v>
      </c>
      <c r="P65" s="313"/>
      <c r="Q65" s="272"/>
      <c r="R65" s="65"/>
      <c r="S65" s="65"/>
    </row>
    <row r="66" spans="1:19" ht="17.25" customHeight="1" x14ac:dyDescent="0.4">
      <c r="A66" s="205">
        <f t="shared" si="26"/>
        <v>8</v>
      </c>
      <c r="B66" s="375">
        <f t="shared" si="23"/>
        <v>0</v>
      </c>
      <c r="C66" s="376"/>
      <c r="D66" s="287" t="str">
        <f t="shared" si="24"/>
        <v>4th Engineer</v>
      </c>
      <c r="E66" s="183" t="s">
        <v>70</v>
      </c>
      <c r="F66" s="307"/>
      <c r="G66" s="307"/>
      <c r="H66" s="307"/>
      <c r="I66" s="307"/>
      <c r="J66" s="307"/>
      <c r="K66" s="307"/>
      <c r="L66" s="308"/>
      <c r="M66" s="286">
        <f t="shared" si="27"/>
        <v>0</v>
      </c>
      <c r="N66" s="314"/>
      <c r="O66" s="313">
        <f t="shared" si="25"/>
        <v>0</v>
      </c>
      <c r="P66" s="313"/>
      <c r="Q66" s="272"/>
      <c r="R66" s="65"/>
      <c r="S66" s="65"/>
    </row>
    <row r="67" spans="1:19" ht="17.25" customHeight="1" x14ac:dyDescent="0.4">
      <c r="A67" s="205">
        <f t="shared" ref="A67:A85" si="28">A66+1</f>
        <v>9</v>
      </c>
      <c r="B67" s="375">
        <f t="shared" si="23"/>
        <v>0</v>
      </c>
      <c r="C67" s="376"/>
      <c r="D67" s="287" t="str">
        <f t="shared" si="24"/>
        <v>El.ENG</v>
      </c>
      <c r="E67" s="183" t="s">
        <v>70</v>
      </c>
      <c r="F67" s="307"/>
      <c r="G67" s="307"/>
      <c r="H67" s="307"/>
      <c r="I67" s="307"/>
      <c r="J67" s="307"/>
      <c r="K67" s="307"/>
      <c r="L67" s="308"/>
      <c r="M67" s="286">
        <f>(F67)/30*L67</f>
        <v>0</v>
      </c>
      <c r="N67" s="314"/>
      <c r="O67" s="313">
        <f>SUM(F67:N67)-L67</f>
        <v>0</v>
      </c>
      <c r="P67" s="313"/>
      <c r="Q67" s="272"/>
      <c r="R67" s="65"/>
      <c r="S67" s="65"/>
    </row>
    <row r="68" spans="1:19" ht="15" x14ac:dyDescent="0.4">
      <c r="A68" s="205">
        <f t="shared" si="28"/>
        <v>10</v>
      </c>
      <c r="B68" s="375">
        <f t="shared" ref="B68:B73" si="29">B17</f>
        <v>0</v>
      </c>
      <c r="C68" s="376"/>
      <c r="D68" s="287" t="str">
        <f t="shared" ref="D68:D73" si="30">D17</f>
        <v>Bosun</v>
      </c>
      <c r="E68" s="183" t="s">
        <v>70</v>
      </c>
      <c r="F68" s="307"/>
      <c r="G68" s="307"/>
      <c r="H68" s="307"/>
      <c r="I68" s="307"/>
      <c r="J68" s="307"/>
      <c r="K68" s="307"/>
      <c r="L68" s="308"/>
      <c r="M68" s="286">
        <f>(F68)/30*L68</f>
        <v>0</v>
      </c>
      <c r="N68" s="314"/>
      <c r="O68" s="313">
        <f>SUM(F68:N68)-L68</f>
        <v>0</v>
      </c>
      <c r="P68" s="313"/>
      <c r="Q68" s="272"/>
      <c r="R68" s="65"/>
      <c r="S68" s="65"/>
    </row>
    <row r="69" spans="1:19" ht="15" x14ac:dyDescent="0.4">
      <c r="A69" s="205">
        <f t="shared" si="28"/>
        <v>11</v>
      </c>
      <c r="B69" s="375">
        <f t="shared" si="29"/>
        <v>0</v>
      </c>
      <c r="C69" s="376"/>
      <c r="D69" s="287" t="str">
        <f t="shared" si="30"/>
        <v>ABS</v>
      </c>
      <c r="E69" s="183" t="s">
        <v>70</v>
      </c>
      <c r="F69" s="307"/>
      <c r="G69" s="307"/>
      <c r="H69" s="307"/>
      <c r="I69" s="307"/>
      <c r="J69" s="307"/>
      <c r="K69" s="307"/>
      <c r="L69" s="308"/>
      <c r="M69" s="286">
        <f t="shared" si="27"/>
        <v>0</v>
      </c>
      <c r="N69" s="314"/>
      <c r="O69" s="313">
        <f t="shared" si="25"/>
        <v>0</v>
      </c>
      <c r="P69" s="313"/>
      <c r="Q69" s="272"/>
      <c r="R69" s="65"/>
      <c r="S69" s="65"/>
    </row>
    <row r="70" spans="1:19" ht="15" x14ac:dyDescent="0.4">
      <c r="A70" s="205">
        <f t="shared" si="28"/>
        <v>12</v>
      </c>
      <c r="B70" s="375">
        <f t="shared" si="29"/>
        <v>0</v>
      </c>
      <c r="C70" s="376"/>
      <c r="D70" s="287" t="str">
        <f t="shared" si="30"/>
        <v>ABS</v>
      </c>
      <c r="E70" s="183" t="s">
        <v>70</v>
      </c>
      <c r="F70" s="307"/>
      <c r="G70" s="307"/>
      <c r="H70" s="307"/>
      <c r="I70" s="307"/>
      <c r="J70" s="307"/>
      <c r="K70" s="307"/>
      <c r="L70" s="308"/>
      <c r="M70" s="286">
        <f t="shared" si="27"/>
        <v>0</v>
      </c>
      <c r="N70" s="314"/>
      <c r="O70" s="313">
        <f t="shared" si="25"/>
        <v>0</v>
      </c>
      <c r="P70" s="313"/>
      <c r="Q70" s="272"/>
      <c r="R70" s="65"/>
      <c r="S70" s="65"/>
    </row>
    <row r="71" spans="1:19" ht="15" x14ac:dyDescent="0.4">
      <c r="A71" s="205">
        <f t="shared" si="28"/>
        <v>13</v>
      </c>
      <c r="B71" s="375">
        <f t="shared" si="29"/>
        <v>0</v>
      </c>
      <c r="C71" s="376"/>
      <c r="D71" s="287" t="str">
        <f t="shared" si="30"/>
        <v>ABS</v>
      </c>
      <c r="E71" s="183" t="s">
        <v>70</v>
      </c>
      <c r="F71" s="307"/>
      <c r="G71" s="307"/>
      <c r="H71" s="307"/>
      <c r="I71" s="307"/>
      <c r="J71" s="307"/>
      <c r="K71" s="307"/>
      <c r="L71" s="308"/>
      <c r="M71" s="286">
        <f>(F71)/30*L71</f>
        <v>0</v>
      </c>
      <c r="N71" s="314"/>
      <c r="O71" s="313">
        <f>SUM(F71:N71)-L71</f>
        <v>0</v>
      </c>
      <c r="P71" s="313"/>
      <c r="Q71" s="272"/>
      <c r="R71" s="65"/>
      <c r="S71" s="65"/>
    </row>
    <row r="72" spans="1:19" ht="15" x14ac:dyDescent="0.4">
      <c r="A72" s="205">
        <f t="shared" si="28"/>
        <v>14</v>
      </c>
      <c r="B72" s="375">
        <f t="shared" si="29"/>
        <v>0</v>
      </c>
      <c r="C72" s="376"/>
      <c r="D72" s="287" t="str">
        <f t="shared" si="30"/>
        <v>OS</v>
      </c>
      <c r="E72" s="183" t="s">
        <v>70</v>
      </c>
      <c r="F72" s="307"/>
      <c r="G72" s="307"/>
      <c r="H72" s="307"/>
      <c r="I72" s="307"/>
      <c r="J72" s="307"/>
      <c r="K72" s="307"/>
      <c r="L72" s="308"/>
      <c r="M72" s="286">
        <f>(F72)/30*L72</f>
        <v>0</v>
      </c>
      <c r="N72" s="314"/>
      <c r="O72" s="313">
        <f>SUM(F72:N72)-L72</f>
        <v>0</v>
      </c>
      <c r="P72" s="313"/>
      <c r="Q72" s="272"/>
      <c r="R72" s="65"/>
      <c r="S72" s="65"/>
    </row>
    <row r="73" spans="1:19" ht="15" x14ac:dyDescent="0.4">
      <c r="A73" s="205">
        <f t="shared" si="28"/>
        <v>15</v>
      </c>
      <c r="B73" s="375">
        <f t="shared" si="29"/>
        <v>0</v>
      </c>
      <c r="C73" s="376"/>
      <c r="D73" s="287" t="str">
        <f t="shared" si="30"/>
        <v>OS</v>
      </c>
      <c r="E73" s="183" t="s">
        <v>70</v>
      </c>
      <c r="F73" s="307"/>
      <c r="G73" s="307"/>
      <c r="H73" s="307"/>
      <c r="I73" s="307"/>
      <c r="J73" s="307"/>
      <c r="K73" s="307"/>
      <c r="L73" s="308"/>
      <c r="M73" s="286">
        <f t="shared" si="27"/>
        <v>0</v>
      </c>
      <c r="N73" s="314"/>
      <c r="O73" s="313">
        <f t="shared" si="25"/>
        <v>0</v>
      </c>
      <c r="P73" s="313"/>
      <c r="Q73" s="272"/>
      <c r="R73" s="65"/>
      <c r="S73" s="65"/>
    </row>
    <row r="74" spans="1:19" ht="15" x14ac:dyDescent="0.4">
      <c r="A74" s="205">
        <f t="shared" si="28"/>
        <v>16</v>
      </c>
      <c r="B74" s="375">
        <f t="shared" ref="B74:B85" si="31">B23</f>
        <v>0</v>
      </c>
      <c r="C74" s="376"/>
      <c r="D74" s="287" t="str">
        <f t="shared" ref="D74:D85" si="32">D23</f>
        <v>Motorman</v>
      </c>
      <c r="E74" s="183" t="s">
        <v>70</v>
      </c>
      <c r="F74" s="307"/>
      <c r="G74" s="307"/>
      <c r="H74" s="307"/>
      <c r="I74" s="307"/>
      <c r="J74" s="307"/>
      <c r="K74" s="307"/>
      <c r="L74" s="308"/>
      <c r="M74" s="286">
        <f t="shared" si="27"/>
        <v>0</v>
      </c>
      <c r="N74" s="314"/>
      <c r="O74" s="313">
        <f t="shared" si="25"/>
        <v>0</v>
      </c>
      <c r="P74" s="313"/>
      <c r="Q74" s="272"/>
      <c r="R74" s="65"/>
      <c r="S74" s="65"/>
    </row>
    <row r="75" spans="1:19" ht="15" x14ac:dyDescent="0.4">
      <c r="A75" s="205">
        <f t="shared" si="28"/>
        <v>17</v>
      </c>
      <c r="B75" s="375">
        <f t="shared" si="31"/>
        <v>0</v>
      </c>
      <c r="C75" s="376"/>
      <c r="D75" s="287" t="str">
        <f t="shared" si="32"/>
        <v>Motorman</v>
      </c>
      <c r="E75" s="183" t="s">
        <v>70</v>
      </c>
      <c r="F75" s="307"/>
      <c r="G75" s="307"/>
      <c r="H75" s="307"/>
      <c r="I75" s="307"/>
      <c r="J75" s="307"/>
      <c r="K75" s="307"/>
      <c r="L75" s="308"/>
      <c r="M75" s="286">
        <f t="shared" si="27"/>
        <v>0</v>
      </c>
      <c r="N75" s="314"/>
      <c r="O75" s="313">
        <f t="shared" si="25"/>
        <v>0</v>
      </c>
      <c r="P75" s="313"/>
      <c r="Q75" s="272"/>
      <c r="R75" s="65"/>
      <c r="S75" s="65"/>
    </row>
    <row r="76" spans="1:19" ht="15" x14ac:dyDescent="0.4">
      <c r="A76" s="205">
        <f t="shared" si="28"/>
        <v>18</v>
      </c>
      <c r="B76" s="375">
        <f t="shared" si="31"/>
        <v>0</v>
      </c>
      <c r="C76" s="376"/>
      <c r="D76" s="287" t="str">
        <f t="shared" si="32"/>
        <v>Motorman</v>
      </c>
      <c r="E76" s="183" t="s">
        <v>70</v>
      </c>
      <c r="F76" s="307"/>
      <c r="G76" s="307"/>
      <c r="H76" s="307"/>
      <c r="I76" s="307"/>
      <c r="J76" s="307"/>
      <c r="K76" s="307"/>
      <c r="L76" s="308"/>
      <c r="M76" s="286">
        <f t="shared" si="27"/>
        <v>0</v>
      </c>
      <c r="N76" s="314"/>
      <c r="O76" s="313">
        <f t="shared" si="25"/>
        <v>0</v>
      </c>
      <c r="P76" s="313"/>
      <c r="Q76" s="272"/>
      <c r="R76" s="65"/>
      <c r="S76" s="65"/>
    </row>
    <row r="77" spans="1:19" ht="15" x14ac:dyDescent="0.4">
      <c r="A77" s="205">
        <f t="shared" si="28"/>
        <v>19</v>
      </c>
      <c r="B77" s="375">
        <f t="shared" si="31"/>
        <v>0</v>
      </c>
      <c r="C77" s="376"/>
      <c r="D77" s="287" t="str">
        <f t="shared" si="32"/>
        <v>Wiper</v>
      </c>
      <c r="E77" s="183" t="s">
        <v>70</v>
      </c>
      <c r="F77" s="307"/>
      <c r="G77" s="307"/>
      <c r="H77" s="307"/>
      <c r="I77" s="307"/>
      <c r="J77" s="307"/>
      <c r="K77" s="307"/>
      <c r="L77" s="308"/>
      <c r="M77" s="286">
        <f t="shared" si="27"/>
        <v>0</v>
      </c>
      <c r="N77" s="314"/>
      <c r="O77" s="313">
        <f t="shared" si="25"/>
        <v>0</v>
      </c>
      <c r="P77" s="313"/>
      <c r="Q77" s="272"/>
      <c r="R77" s="65"/>
      <c r="S77" s="65"/>
    </row>
    <row r="78" spans="1:19" ht="15" x14ac:dyDescent="0.4">
      <c r="A78" s="205">
        <f t="shared" si="28"/>
        <v>20</v>
      </c>
      <c r="B78" s="375">
        <f t="shared" si="31"/>
        <v>0</v>
      </c>
      <c r="C78" s="376"/>
      <c r="D78" s="287" t="str">
        <f t="shared" si="32"/>
        <v>CCK</v>
      </c>
      <c r="E78" s="191">
        <v>30</v>
      </c>
      <c r="F78" s="307"/>
      <c r="G78" s="307"/>
      <c r="H78" s="307"/>
      <c r="I78" s="307"/>
      <c r="J78" s="307"/>
      <c r="K78" s="307"/>
      <c r="L78" s="308"/>
      <c r="M78" s="286">
        <f t="shared" si="27"/>
        <v>0</v>
      </c>
      <c r="N78" s="314"/>
      <c r="O78" s="313">
        <f t="shared" si="25"/>
        <v>0</v>
      </c>
      <c r="P78" s="313"/>
      <c r="Q78" s="272"/>
      <c r="S78" s="65"/>
    </row>
    <row r="79" spans="1:19" ht="15" x14ac:dyDescent="0.4">
      <c r="A79" s="205">
        <f t="shared" si="28"/>
        <v>21</v>
      </c>
      <c r="B79" s="375">
        <f t="shared" si="31"/>
        <v>0</v>
      </c>
      <c r="C79" s="376"/>
      <c r="D79" s="287" t="str">
        <f t="shared" si="32"/>
        <v>MBOY</v>
      </c>
      <c r="E79" s="191">
        <v>30</v>
      </c>
      <c r="F79" s="307"/>
      <c r="G79" s="307"/>
      <c r="H79" s="307"/>
      <c r="I79" s="307"/>
      <c r="J79" s="307"/>
      <c r="K79" s="307"/>
      <c r="L79" s="308"/>
      <c r="M79" s="286">
        <f t="shared" si="27"/>
        <v>0</v>
      </c>
      <c r="N79" s="314"/>
      <c r="O79" s="313">
        <f t="shared" si="25"/>
        <v>0</v>
      </c>
      <c r="P79" s="313"/>
      <c r="Q79" s="272"/>
      <c r="S79" s="65"/>
    </row>
    <row r="80" spans="1:19" ht="15" x14ac:dyDescent="0.4">
      <c r="A80" s="205">
        <f t="shared" si="28"/>
        <v>22</v>
      </c>
      <c r="B80" s="375">
        <f t="shared" si="31"/>
        <v>0</v>
      </c>
      <c r="C80" s="376"/>
      <c r="D80" s="287" t="str">
        <f t="shared" si="32"/>
        <v>Deck Fitter</v>
      </c>
      <c r="E80" s="191" t="s">
        <v>70</v>
      </c>
      <c r="F80" s="307"/>
      <c r="G80" s="307"/>
      <c r="H80" s="307"/>
      <c r="I80" s="307"/>
      <c r="J80" s="307"/>
      <c r="K80" s="307"/>
      <c r="L80" s="308"/>
      <c r="M80" s="286">
        <f t="shared" si="27"/>
        <v>0</v>
      </c>
      <c r="N80" s="314"/>
      <c r="O80" s="313">
        <f t="shared" si="25"/>
        <v>0</v>
      </c>
      <c r="P80" s="313"/>
      <c r="Q80" s="273"/>
      <c r="S80" s="65"/>
    </row>
    <row r="81" spans="1:20" ht="15" x14ac:dyDescent="0.4">
      <c r="A81" s="205">
        <f t="shared" si="28"/>
        <v>23</v>
      </c>
      <c r="B81" s="375">
        <f t="shared" si="31"/>
        <v>0</v>
      </c>
      <c r="C81" s="376"/>
      <c r="D81" s="287" t="str">
        <f t="shared" si="32"/>
        <v>Engine Fitter</v>
      </c>
      <c r="E81" s="191">
        <v>30</v>
      </c>
      <c r="F81" s="307"/>
      <c r="G81" s="307"/>
      <c r="H81" s="307"/>
      <c r="I81" s="307"/>
      <c r="J81" s="307"/>
      <c r="K81" s="307"/>
      <c r="L81" s="308"/>
      <c r="M81" s="286">
        <f t="shared" si="27"/>
        <v>0</v>
      </c>
      <c r="N81" s="314"/>
      <c r="O81" s="313">
        <f>SUM(F81:N81)-L81</f>
        <v>0</v>
      </c>
      <c r="P81" s="313"/>
      <c r="Q81" s="273"/>
      <c r="S81" s="65"/>
    </row>
    <row r="82" spans="1:20" ht="15" x14ac:dyDescent="0.4">
      <c r="A82" s="205">
        <f t="shared" si="28"/>
        <v>24</v>
      </c>
      <c r="B82" s="375">
        <f t="shared" si="31"/>
        <v>0</v>
      </c>
      <c r="C82" s="376"/>
      <c r="D82" s="287" t="str">
        <f t="shared" si="32"/>
        <v>Electrician</v>
      </c>
      <c r="E82" s="191">
        <v>30</v>
      </c>
      <c r="F82" s="307"/>
      <c r="G82" s="307"/>
      <c r="H82" s="307"/>
      <c r="I82" s="307"/>
      <c r="J82" s="307"/>
      <c r="K82" s="307"/>
      <c r="L82" s="308"/>
      <c r="M82" s="286">
        <f t="shared" si="27"/>
        <v>0</v>
      </c>
      <c r="N82" s="314"/>
      <c r="O82" s="313">
        <f>SUM(F82:N82)-L82</f>
        <v>0</v>
      </c>
      <c r="P82" s="313"/>
      <c r="Q82" s="273"/>
      <c r="S82" s="65"/>
    </row>
    <row r="83" spans="1:20" ht="15" x14ac:dyDescent="0.4">
      <c r="A83" s="205">
        <f t="shared" si="28"/>
        <v>25</v>
      </c>
      <c r="B83" s="375">
        <f t="shared" si="31"/>
        <v>0</v>
      </c>
      <c r="C83" s="376"/>
      <c r="D83" s="287">
        <f t="shared" si="32"/>
        <v>0</v>
      </c>
      <c r="E83" s="191" t="s">
        <v>70</v>
      </c>
      <c r="F83" s="307"/>
      <c r="G83" s="307"/>
      <c r="H83" s="307"/>
      <c r="I83" s="307"/>
      <c r="J83" s="307"/>
      <c r="K83" s="307"/>
      <c r="L83" s="308"/>
      <c r="M83" s="286">
        <f t="shared" si="27"/>
        <v>0</v>
      </c>
      <c r="N83" s="314"/>
      <c r="O83" s="313">
        <f>SUM(F83:N83)-L83</f>
        <v>0</v>
      </c>
      <c r="P83" s="313"/>
      <c r="Q83" s="273"/>
      <c r="S83" s="65"/>
    </row>
    <row r="84" spans="1:20" ht="15" x14ac:dyDescent="0.4">
      <c r="A84" s="205">
        <f t="shared" si="28"/>
        <v>26</v>
      </c>
      <c r="B84" s="375">
        <f t="shared" si="31"/>
        <v>0</v>
      </c>
      <c r="C84" s="376"/>
      <c r="D84" s="287">
        <f t="shared" si="32"/>
        <v>0</v>
      </c>
      <c r="E84" s="191" t="s">
        <v>70</v>
      </c>
      <c r="F84" s="307"/>
      <c r="G84" s="307"/>
      <c r="H84" s="307"/>
      <c r="I84" s="307"/>
      <c r="J84" s="307"/>
      <c r="K84" s="307"/>
      <c r="L84" s="308"/>
      <c r="M84" s="286">
        <f t="shared" si="27"/>
        <v>0</v>
      </c>
      <c r="N84" s="314"/>
      <c r="O84" s="313">
        <f>SUM(F84:N84)-L84</f>
        <v>0</v>
      </c>
      <c r="P84" s="313"/>
      <c r="Q84" s="273"/>
      <c r="S84" s="65"/>
    </row>
    <row r="85" spans="1:20" ht="15" x14ac:dyDescent="0.4">
      <c r="A85" s="205">
        <f t="shared" si="28"/>
        <v>27</v>
      </c>
      <c r="B85" s="375">
        <f t="shared" si="31"/>
        <v>0</v>
      </c>
      <c r="C85" s="376"/>
      <c r="D85" s="287">
        <f t="shared" si="32"/>
        <v>0</v>
      </c>
      <c r="E85" s="191" t="s">
        <v>70</v>
      </c>
      <c r="F85" s="307"/>
      <c r="G85" s="307"/>
      <c r="H85" s="307"/>
      <c r="I85" s="307"/>
      <c r="J85" s="307"/>
      <c r="K85" s="307"/>
      <c r="L85" s="308"/>
      <c r="M85" s="286">
        <f t="shared" si="27"/>
        <v>0</v>
      </c>
      <c r="N85" s="314"/>
      <c r="O85" s="313">
        <f>SUM(F85:N85)-L85</f>
        <v>0</v>
      </c>
      <c r="P85" s="313"/>
      <c r="Q85" s="273"/>
      <c r="S85" s="65"/>
    </row>
    <row r="86" spans="1:20" ht="17.25" x14ac:dyDescent="0.45">
      <c r="A86" s="205"/>
      <c r="B86" s="427" t="s">
        <v>74</v>
      </c>
      <c r="C86" s="428"/>
      <c r="D86" s="192"/>
      <c r="E86" s="191"/>
      <c r="F86" s="312">
        <f t="shared" ref="F86:K86" si="33">SUM(F59:F85)</f>
        <v>0</v>
      </c>
      <c r="G86" s="312">
        <f t="shared" si="33"/>
        <v>0</v>
      </c>
      <c r="H86" s="312">
        <f t="shared" si="33"/>
        <v>0</v>
      </c>
      <c r="I86" s="312">
        <f t="shared" si="33"/>
        <v>0</v>
      </c>
      <c r="J86" s="312">
        <f t="shared" si="33"/>
        <v>0</v>
      </c>
      <c r="K86" s="312">
        <f t="shared" si="33"/>
        <v>0</v>
      </c>
      <c r="L86" s="312">
        <f>SUM(L59:L82)</f>
        <v>0</v>
      </c>
      <c r="M86" s="313">
        <f>SUM(M59:M79)</f>
        <v>0</v>
      </c>
      <c r="N86" s="314">
        <f>SUM(N59:N79)</f>
        <v>0</v>
      </c>
      <c r="O86" s="314"/>
      <c r="P86" s="314"/>
      <c r="Q86" s="87"/>
      <c r="S86" s="65"/>
      <c r="T86" s="65"/>
    </row>
    <row r="88" spans="1:20" x14ac:dyDescent="0.35">
      <c r="A88" s="143" t="s">
        <v>127</v>
      </c>
    </row>
    <row r="93" spans="1:20" ht="17.25" x14ac:dyDescent="0.45">
      <c r="B93" s="33"/>
      <c r="C93" s="33"/>
      <c r="D93" s="38"/>
      <c r="E93" s="39"/>
    </row>
    <row r="94" spans="1:20" ht="17.25" x14ac:dyDescent="0.45">
      <c r="B94" s="33"/>
      <c r="C94" s="33"/>
      <c r="D94" s="38"/>
      <c r="E94" s="39"/>
    </row>
    <row r="95" spans="1:20" ht="17.25" x14ac:dyDescent="0.45">
      <c r="B95" s="33"/>
      <c r="C95" s="33"/>
      <c r="D95" s="38"/>
      <c r="E95" s="39"/>
    </row>
    <row r="96" spans="1:20" ht="17.25" x14ac:dyDescent="0.45">
      <c r="B96" s="37"/>
      <c r="C96" s="33"/>
      <c r="D96" s="38"/>
      <c r="E96" s="39"/>
    </row>
    <row r="97" spans="2:5" ht="17.25" x14ac:dyDescent="0.45">
      <c r="B97" s="33"/>
      <c r="C97" s="33"/>
      <c r="D97" s="38"/>
      <c r="E97" s="39"/>
    </row>
    <row r="98" spans="2:5" ht="17.25" x14ac:dyDescent="0.45">
      <c r="B98" s="33"/>
      <c r="C98" s="33"/>
      <c r="D98" s="38"/>
      <c r="E98" s="39"/>
    </row>
    <row r="99" spans="2:5" ht="17.25" x14ac:dyDescent="0.45">
      <c r="B99" s="33"/>
      <c r="C99" s="33"/>
      <c r="D99" s="38"/>
      <c r="E99" s="39"/>
    </row>
    <row r="100" spans="2:5" ht="17.25" x14ac:dyDescent="0.45">
      <c r="B100" s="33"/>
      <c r="C100" s="33"/>
      <c r="D100" s="38"/>
      <c r="E100" s="39"/>
    </row>
    <row r="101" spans="2:5" ht="17.25" x14ac:dyDescent="0.45">
      <c r="B101" s="33"/>
      <c r="C101" s="33"/>
      <c r="D101" s="38"/>
      <c r="E101" s="39"/>
    </row>
    <row r="102" spans="2:5" ht="17.25" x14ac:dyDescent="0.45">
      <c r="B102" s="33"/>
      <c r="C102" s="33"/>
      <c r="D102" s="38"/>
      <c r="E102" s="39"/>
    </row>
    <row r="103" spans="2:5" ht="17.25" x14ac:dyDescent="0.45">
      <c r="B103" s="33"/>
      <c r="C103" s="33"/>
      <c r="D103" s="38"/>
      <c r="E103" s="39"/>
    </row>
    <row r="104" spans="2:5" ht="17.25" x14ac:dyDescent="0.45">
      <c r="B104" s="33"/>
      <c r="C104" s="33"/>
      <c r="D104" s="38"/>
      <c r="E104" s="39"/>
    </row>
    <row r="105" spans="2:5" ht="17.25" x14ac:dyDescent="0.45">
      <c r="B105" s="33"/>
      <c r="C105" s="33"/>
      <c r="D105" s="38"/>
      <c r="E105" s="39"/>
    </row>
    <row r="106" spans="2:5" ht="17.25" x14ac:dyDescent="0.45">
      <c r="B106" s="33"/>
      <c r="C106" s="33"/>
      <c r="D106" s="38"/>
      <c r="E106" s="39"/>
    </row>
    <row r="107" spans="2:5" ht="17.25" x14ac:dyDescent="0.45">
      <c r="B107" s="33"/>
      <c r="C107" s="33"/>
      <c r="D107" s="38"/>
      <c r="E107" s="39"/>
    </row>
    <row r="108" spans="2:5" ht="17.25" x14ac:dyDescent="0.45">
      <c r="B108" s="33"/>
      <c r="C108" s="33"/>
      <c r="D108" s="38"/>
      <c r="E108" s="39"/>
    </row>
    <row r="109" spans="2:5" ht="17.25" x14ac:dyDescent="0.45">
      <c r="B109" s="33"/>
      <c r="C109" s="33"/>
      <c r="D109" s="38"/>
      <c r="E109" s="39"/>
    </row>
    <row r="110" spans="2:5" ht="17.25" x14ac:dyDescent="0.45">
      <c r="B110" s="33"/>
      <c r="C110" s="33"/>
      <c r="D110" s="38"/>
      <c r="E110" s="39"/>
    </row>
    <row r="111" spans="2:5" ht="17.25" x14ac:dyDescent="0.45">
      <c r="B111" s="33"/>
      <c r="C111" s="33"/>
      <c r="D111" s="38"/>
      <c r="E111" s="39"/>
    </row>
    <row r="112" spans="2:5" ht="17.25" x14ac:dyDescent="0.45">
      <c r="B112" s="33"/>
      <c r="C112" s="33"/>
      <c r="D112" s="38"/>
      <c r="E112" s="39"/>
    </row>
    <row r="113" spans="2:5" ht="17.25" x14ac:dyDescent="0.45">
      <c r="B113" s="33"/>
      <c r="C113" s="33"/>
      <c r="D113" s="38"/>
      <c r="E113" s="39"/>
    </row>
    <row r="114" spans="2:5" ht="17.25" x14ac:dyDescent="0.45">
      <c r="B114" s="33"/>
      <c r="C114" s="33"/>
      <c r="D114" s="38"/>
      <c r="E114" s="39"/>
    </row>
    <row r="115" spans="2:5" ht="13.15" x14ac:dyDescent="0.35">
      <c r="B115" s="1"/>
      <c r="C115" s="1"/>
      <c r="D115" s="38"/>
      <c r="E115" s="39"/>
    </row>
    <row r="116" spans="2:5" ht="13.15" x14ac:dyDescent="0.35">
      <c r="B116" s="1"/>
      <c r="C116" s="1"/>
      <c r="D116" s="39"/>
      <c r="E116" s="39"/>
    </row>
    <row r="117" spans="2:5" x14ac:dyDescent="0.35">
      <c r="B117" s="1"/>
      <c r="C117" s="1"/>
      <c r="D117" s="1"/>
      <c r="E117" s="1"/>
    </row>
  </sheetData>
  <sheetProtection formatCells="0" formatColumns="0" formatRows="0" insertColumns="0" sort="0" autoFilter="0"/>
  <mergeCells count="102">
    <mergeCell ref="AE20:AF20"/>
    <mergeCell ref="B21:C21"/>
    <mergeCell ref="AE21:AF21"/>
    <mergeCell ref="AE30:AF30"/>
    <mergeCell ref="AE29:AF29"/>
    <mergeCell ref="AE33:AF33"/>
    <mergeCell ref="B31:C31"/>
    <mergeCell ref="AE31:AF31"/>
    <mergeCell ref="B22:C22"/>
    <mergeCell ref="AE22:AF22"/>
    <mergeCell ref="B14:C14"/>
    <mergeCell ref="B15:C15"/>
    <mergeCell ref="B16:C16"/>
    <mergeCell ref="B72:C72"/>
    <mergeCell ref="B20:C20"/>
    <mergeCell ref="B8:C8"/>
    <mergeCell ref="B12:C12"/>
    <mergeCell ref="B9:C9"/>
    <mergeCell ref="B13:C13"/>
    <mergeCell ref="B19:C19"/>
    <mergeCell ref="B18:C18"/>
    <mergeCell ref="M5:N6"/>
    <mergeCell ref="B11:C11"/>
    <mergeCell ref="B28:C28"/>
    <mergeCell ref="B26:C26"/>
    <mergeCell ref="B27:C27"/>
    <mergeCell ref="B23:C23"/>
    <mergeCell ref="B24:C24"/>
    <mergeCell ref="B25:C25"/>
    <mergeCell ref="B17:C17"/>
    <mergeCell ref="B10:C10"/>
    <mergeCell ref="B86:C86"/>
    <mergeCell ref="B73:C73"/>
    <mergeCell ref="B75:C75"/>
    <mergeCell ref="B79:C79"/>
    <mergeCell ref="B85:C85"/>
    <mergeCell ref="B82:C82"/>
    <mergeCell ref="B83:C83"/>
    <mergeCell ref="B84:C84"/>
    <mergeCell ref="B68:C68"/>
    <mergeCell ref="F5:G6"/>
    <mergeCell ref="L5:L7"/>
    <mergeCell ref="AE11:AF11"/>
    <mergeCell ref="AE5:AF7"/>
    <mergeCell ref="AC5:AC7"/>
    <mergeCell ref="AD5:AD7"/>
    <mergeCell ref="AE9:AF9"/>
    <mergeCell ref="AE15:AF15"/>
    <mergeCell ref="K5:K7"/>
    <mergeCell ref="O5:O7"/>
    <mergeCell ref="AB5:AB7"/>
    <mergeCell ref="AA5:AA7"/>
    <mergeCell ref="Q5:Q7"/>
    <mergeCell ref="R5:Z6"/>
    <mergeCell ref="AE17:AF17"/>
    <mergeCell ref="AE8:AF8"/>
    <mergeCell ref="P6:P7"/>
    <mergeCell ref="AE35:AF35"/>
    <mergeCell ref="W41:Y41"/>
    <mergeCell ref="AE12:AF12"/>
    <mergeCell ref="AE10:AF10"/>
    <mergeCell ref="AE14:AF14"/>
    <mergeCell ref="AE19:AF19"/>
    <mergeCell ref="AE13:AF13"/>
    <mergeCell ref="AE18:AF18"/>
    <mergeCell ref="AE16:AF16"/>
    <mergeCell ref="AE23:AF23"/>
    <mergeCell ref="W42:Y42"/>
    <mergeCell ref="AE24:AF24"/>
    <mergeCell ref="AE32:AF32"/>
    <mergeCell ref="AE34:AF34"/>
    <mergeCell ref="W40:Y40"/>
    <mergeCell ref="AE26:AF26"/>
    <mergeCell ref="AE28:AF28"/>
    <mergeCell ref="AE27:AF27"/>
    <mergeCell ref="B29:C29"/>
    <mergeCell ref="B80:C80"/>
    <mergeCell ref="B78:C78"/>
    <mergeCell ref="B74:C74"/>
    <mergeCell ref="B66:C66"/>
    <mergeCell ref="B70:C70"/>
    <mergeCell ref="B76:C76"/>
    <mergeCell ref="B67:C67"/>
    <mergeCell ref="B69:C69"/>
    <mergeCell ref="B71:C71"/>
    <mergeCell ref="B65:C65"/>
    <mergeCell ref="B30:C30"/>
    <mergeCell ref="B59:C59"/>
    <mergeCell ref="B34:C34"/>
    <mergeCell ref="B35:C35"/>
    <mergeCell ref="B33:C33"/>
    <mergeCell ref="B32:C32"/>
    <mergeCell ref="B81:C81"/>
    <mergeCell ref="AE25:AF25"/>
    <mergeCell ref="B60:C60"/>
    <mergeCell ref="B64:C64"/>
    <mergeCell ref="B61:C61"/>
    <mergeCell ref="AE36:AF36"/>
    <mergeCell ref="L56:M56"/>
    <mergeCell ref="B77:C77"/>
    <mergeCell ref="B62:C62"/>
    <mergeCell ref="B63:C63"/>
  </mergeCells>
  <phoneticPr fontId="14" type="noConversion"/>
  <pageMargins left="0.27559055118110237" right="0" top="0" bottom="0" header="0" footer="0"/>
  <pageSetup paperSize="9" scale="62" pageOrder="overThenDown" orientation="landscape" horizontalDpi="300" verticalDpi="300" r:id="rId1"/>
  <headerFooter alignWithMargins="0">
    <oddFooter>&amp;CLeader Ship Management LLC</oddFooter>
  </headerFooter>
  <rowBreaks count="1" manualBreakCount="1">
    <brk id="49" max="16383" man="1"/>
  </rowBreaks>
  <colBreaks count="1" manualBreakCount="1">
    <brk id="1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FFC000"/>
  </sheetPr>
  <dimension ref="A1:W41"/>
  <sheetViews>
    <sheetView topLeftCell="A4" zoomScale="75" zoomScaleNormal="100" workbookViewId="0">
      <pane xSplit="4" ySplit="6" topLeftCell="E10" activePane="bottomRight" state="frozen"/>
      <selection activeCell="C43" sqref="C43"/>
      <selection pane="topRight" activeCell="C43" sqref="C43"/>
      <selection pane="bottomLeft" activeCell="C43" sqref="C43"/>
      <selection pane="bottomRight" activeCell="D34" sqref="D34"/>
    </sheetView>
  </sheetViews>
  <sheetFormatPr defaultColWidth="9.1328125" defaultRowHeight="12.75" x14ac:dyDescent="0.35"/>
  <cols>
    <col min="1" max="1" width="0.1328125" customWidth="1"/>
    <col min="2" max="2" width="4" hidden="1" customWidth="1"/>
    <col min="3" max="3" width="19.33203125" customWidth="1"/>
    <col min="4" max="4" width="12.6640625" customWidth="1"/>
    <col min="5" max="5" width="11.53125" customWidth="1"/>
    <col min="6" max="6" width="11.1328125" customWidth="1"/>
    <col min="7" max="7" width="10.53125" customWidth="1"/>
    <col min="8" max="8" width="11" customWidth="1"/>
    <col min="9" max="9" width="10.1328125" customWidth="1"/>
    <col min="10" max="11" width="10.53125" customWidth="1"/>
    <col min="12" max="12" width="9.46484375" customWidth="1"/>
    <col min="13" max="13" width="8.6640625" customWidth="1"/>
    <col min="14" max="14" width="14.53125" customWidth="1"/>
    <col min="15" max="15" width="11.6640625" customWidth="1"/>
    <col min="16" max="16" width="11.53125" customWidth="1"/>
    <col min="17" max="17" width="6.53125" hidden="1" customWidth="1"/>
    <col min="18" max="18" width="13" customWidth="1"/>
    <col min="19" max="19" width="14" customWidth="1"/>
    <col min="20" max="20" width="9.53125" customWidth="1"/>
    <col min="21" max="21" width="14" customWidth="1"/>
    <col min="22" max="22" width="12.86328125" style="1" customWidth="1"/>
    <col min="23" max="23" width="16.1328125" style="1" customWidth="1"/>
    <col min="24" max="16384" width="9.1328125" style="1"/>
  </cols>
  <sheetData>
    <row r="1" spans="1:23" s="94" customFormat="1" ht="13.15" x14ac:dyDescent="0.4">
      <c r="A1" s="89"/>
      <c r="B1" s="89"/>
      <c r="C1" s="90" t="s">
        <v>79</v>
      </c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92"/>
      <c r="S1" s="93"/>
      <c r="T1" s="93"/>
      <c r="U1" s="93"/>
      <c r="V1" s="281"/>
      <c r="W1" s="281"/>
    </row>
    <row r="2" spans="1:23" s="94" customFormat="1" ht="11.25" customHeight="1" x14ac:dyDescent="0.4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91" t="s">
        <v>80</v>
      </c>
      <c r="R2" s="91" t="s">
        <v>80</v>
      </c>
      <c r="S2" s="97" t="s">
        <v>89</v>
      </c>
      <c r="T2" s="93"/>
      <c r="U2" s="93"/>
      <c r="V2" s="281"/>
      <c r="W2" s="281"/>
    </row>
    <row r="3" spans="1:23" s="94" customFormat="1" ht="11.25" customHeight="1" x14ac:dyDescent="0.5">
      <c r="A3" s="89"/>
      <c r="B3" s="89"/>
      <c r="C3" s="89"/>
      <c r="D3" s="95"/>
      <c r="E3" s="95"/>
      <c r="F3" s="95"/>
      <c r="G3" s="95"/>
      <c r="H3" s="95"/>
      <c r="I3" s="95"/>
      <c r="J3" s="95"/>
      <c r="K3" s="95"/>
      <c r="L3" s="95"/>
      <c r="M3" s="95"/>
      <c r="N3" s="89"/>
      <c r="O3" s="89"/>
      <c r="P3" s="89"/>
      <c r="Q3" s="91" t="s">
        <v>81</v>
      </c>
      <c r="R3" s="91" t="s">
        <v>81</v>
      </c>
      <c r="S3" s="98" t="s">
        <v>83</v>
      </c>
      <c r="T3" s="93"/>
      <c r="U3" s="93"/>
      <c r="V3" s="281"/>
      <c r="W3" s="281"/>
    </row>
    <row r="4" spans="1:23" s="103" customFormat="1" ht="11.25" customHeight="1" x14ac:dyDescent="0.35">
      <c r="A4" s="100"/>
      <c r="B4" s="100"/>
      <c r="C4" s="104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99"/>
      <c r="S4" s="99"/>
      <c r="T4" s="102"/>
      <c r="U4" s="102"/>
      <c r="V4" s="282"/>
      <c r="W4" s="282"/>
    </row>
    <row r="5" spans="1:23" s="94" customFormat="1" ht="13.15" x14ac:dyDescent="0.4">
      <c r="A5" s="89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281"/>
      <c r="W5" s="281"/>
    </row>
    <row r="6" spans="1:23" s="108" customFormat="1" ht="17.649999999999999" x14ac:dyDescent="0.5">
      <c r="A6" s="95"/>
      <c r="B6" s="95"/>
      <c r="C6" s="95"/>
      <c r="D6" s="431" t="s">
        <v>79</v>
      </c>
      <c r="E6" s="431"/>
      <c r="F6" s="431"/>
      <c r="G6" s="431"/>
      <c r="H6" s="95"/>
      <c r="I6" s="95"/>
      <c r="J6" s="95"/>
      <c r="K6" s="95"/>
      <c r="L6" s="95"/>
      <c r="M6" s="95"/>
      <c r="N6" s="95"/>
      <c r="O6" s="95"/>
      <c r="P6" s="95"/>
      <c r="Q6" s="107"/>
      <c r="R6" s="95"/>
      <c r="S6" s="95"/>
      <c r="T6" s="95" t="s">
        <v>68</v>
      </c>
      <c r="U6" s="95"/>
    </row>
    <row r="7" spans="1:23" s="94" customFormat="1" ht="15" x14ac:dyDescent="0.4">
      <c r="A7" s="89"/>
      <c r="B7" s="89"/>
      <c r="C7" s="106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89" t="s">
        <v>69</v>
      </c>
      <c r="S7" s="232">
        <f>'Portage Bill'!K2</f>
        <v>41394</v>
      </c>
      <c r="V7" s="281"/>
      <c r="W7" s="281"/>
    </row>
    <row r="8" spans="1:23" x14ac:dyDescent="0.35">
      <c r="A8" s="60"/>
      <c r="B8" s="60"/>
      <c r="C8" s="60" t="str">
        <f>'Portage Bill'!B3</f>
        <v xml:space="preserve">Vessel:     </v>
      </c>
      <c r="D8" s="60">
        <f>'Portage Bill'!C3</f>
        <v>0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70"/>
      <c r="T8" s="1"/>
      <c r="U8" s="1"/>
    </row>
    <row r="9" spans="1:23" s="246" customFormat="1" ht="47.25" customHeight="1" x14ac:dyDescent="0.4">
      <c r="A9" s="106"/>
      <c r="B9" s="109"/>
      <c r="C9" s="111" t="s">
        <v>5</v>
      </c>
      <c r="D9" s="111" t="s">
        <v>6</v>
      </c>
      <c r="E9" s="245" t="str">
        <f>'Portage Bill'!Q5</f>
        <v>TOTAL EARNINGS</v>
      </c>
      <c r="F9" s="245" t="str">
        <f>'Portage Bill'!R7</f>
        <v>***Leave pay</v>
      </c>
      <c r="G9" s="245" t="str">
        <f>'Portage Bill'!S7</f>
        <v>Allotmеnt</v>
      </c>
      <c r="H9" s="245" t="str">
        <f>'Portage Bill'!T7</f>
        <v xml:space="preserve"> SING. PAYM.</v>
      </c>
      <c r="I9" s="245" t="str">
        <f>'Portage Bill'!U7</f>
        <v xml:space="preserve">CASH ADV.1 </v>
      </c>
      <c r="J9" s="245" t="str">
        <f>'Portage Bill'!V7</f>
        <v>CASH ADV.2</v>
      </c>
      <c r="K9" s="245" t="str">
        <f>'Portage Bill'!W7</f>
        <v>Slopchest</v>
      </c>
      <c r="L9" s="245" t="str">
        <f>'Portage Bill'!X7</f>
        <v>Telecon</v>
      </c>
      <c r="M9" s="245" t="str">
        <f>'Portage Bill'!Y7</f>
        <v>Other</v>
      </c>
      <c r="N9" s="253" t="str">
        <f>'Portage Bill'!Z7</f>
        <v xml:space="preserve">TOTAL DEDUCTIONS </v>
      </c>
      <c r="O9" s="245" t="str">
        <f>'Portage Bill'!AA5</f>
        <v>BALANCE</v>
      </c>
      <c r="P9" s="245" t="str">
        <f>'Portage Bill'!AB5</f>
        <v>PREVIOUS BALANCE</v>
      </c>
      <c r="Q9" s="244" t="s">
        <v>87</v>
      </c>
      <c r="R9" s="255" t="s">
        <v>12</v>
      </c>
      <c r="S9" s="243" t="s">
        <v>13</v>
      </c>
      <c r="U9" s="295" t="str">
        <f>'Portage Bill'!AC5</f>
        <v>****Leave pay for off-signers</v>
      </c>
      <c r="V9" s="283" t="s">
        <v>122</v>
      </c>
      <c r="W9" s="284" t="s">
        <v>123</v>
      </c>
    </row>
    <row r="10" spans="1:23" ht="15" customHeight="1" x14ac:dyDescent="0.4">
      <c r="A10" s="73"/>
      <c r="B10" s="74"/>
      <c r="C10" s="223">
        <f>'Portage Bill'!B8</f>
        <v>0</v>
      </c>
      <c r="D10" s="224" t="str">
        <f>'Portage Bill'!D8</f>
        <v>Master</v>
      </c>
      <c r="E10" s="254">
        <f>'Portage Bill'!Q8</f>
        <v>0</v>
      </c>
      <c r="F10" s="225">
        <f>'Portage Bill'!R8</f>
        <v>0</v>
      </c>
      <c r="G10" s="225">
        <f>'Portage Bill'!S8</f>
        <v>0</v>
      </c>
      <c r="H10" s="225">
        <f>'Portage Bill'!T8</f>
        <v>0</v>
      </c>
      <c r="I10" s="225">
        <f>'Portage Bill'!U8</f>
        <v>0</v>
      </c>
      <c r="J10" s="225">
        <f>'Portage Bill'!V8</f>
        <v>0</v>
      </c>
      <c r="K10" s="225">
        <f>'Portage Bill'!W8</f>
        <v>0</v>
      </c>
      <c r="L10" s="225">
        <f>'Portage Bill'!X8</f>
        <v>0</v>
      </c>
      <c r="M10" s="225">
        <f>'Portage Bill'!Y8</f>
        <v>0</v>
      </c>
      <c r="N10" s="225">
        <f>'Portage Bill'!Z8</f>
        <v>0</v>
      </c>
      <c r="O10" s="225">
        <f>E10-N10</f>
        <v>0</v>
      </c>
      <c r="P10" s="226">
        <f>'Portage Bill'!AB8</f>
        <v>0</v>
      </c>
      <c r="Q10" s="226"/>
      <c r="R10" s="256">
        <f>SUM(O10:Q10)</f>
        <v>0</v>
      </c>
      <c r="S10" s="227"/>
      <c r="T10" s="1"/>
      <c r="U10" s="285">
        <v>0</v>
      </c>
      <c r="V10" s="320">
        <v>0</v>
      </c>
      <c r="W10" s="285">
        <f>V10+F10-U10</f>
        <v>0</v>
      </c>
    </row>
    <row r="11" spans="1:23" ht="15" customHeight="1" x14ac:dyDescent="0.4">
      <c r="A11" s="73" t="e">
        <f>'Portage Bill'!#REF!</f>
        <v>#REF!</v>
      </c>
      <c r="B11" s="74">
        <f>'Portage Bill'!B9</f>
        <v>0</v>
      </c>
      <c r="C11" s="228">
        <f>'Portage Bill'!B9</f>
        <v>0</v>
      </c>
      <c r="D11" s="224" t="str">
        <f>'Portage Bill'!D9</f>
        <v>Chief officer</v>
      </c>
      <c r="E11" s="254">
        <f>'Portage Bill'!Q9</f>
        <v>0</v>
      </c>
      <c r="F11" s="225">
        <f>'Portage Bill'!R9</f>
        <v>0</v>
      </c>
      <c r="G11" s="225">
        <f>'Portage Bill'!S9</f>
        <v>0</v>
      </c>
      <c r="H11" s="225">
        <f>'Portage Bill'!T9</f>
        <v>0</v>
      </c>
      <c r="I11" s="225">
        <f>'Portage Bill'!U9</f>
        <v>0</v>
      </c>
      <c r="J11" s="225">
        <f>'Portage Bill'!V9</f>
        <v>0</v>
      </c>
      <c r="K11" s="225">
        <f>'Portage Bill'!W9</f>
        <v>0</v>
      </c>
      <c r="L11" s="225">
        <f>'Portage Bill'!X9</f>
        <v>0</v>
      </c>
      <c r="M11" s="225">
        <f>'Portage Bill'!Y9</f>
        <v>0</v>
      </c>
      <c r="N11" s="225">
        <f>'Portage Bill'!Z9</f>
        <v>0</v>
      </c>
      <c r="O11" s="225">
        <f t="shared" ref="O11:O17" si="0">E11-N11</f>
        <v>0</v>
      </c>
      <c r="P11" s="226">
        <f>'Portage Bill'!AB9</f>
        <v>0</v>
      </c>
      <c r="Q11" s="229"/>
      <c r="R11" s="256">
        <f t="shared" ref="R11:R17" si="1">SUM(O11:Q11)</f>
        <v>0</v>
      </c>
      <c r="S11" s="227"/>
      <c r="T11" s="1"/>
      <c r="U11" s="285">
        <v>0</v>
      </c>
      <c r="V11" s="320">
        <v>0</v>
      </c>
      <c r="W11" s="285">
        <f t="shared" ref="W11:W35" si="2">V11+F11-U11</f>
        <v>0</v>
      </c>
    </row>
    <row r="12" spans="1:23" ht="15" customHeight="1" x14ac:dyDescent="0.4">
      <c r="A12" s="73" t="e">
        <f>'Portage Bill'!#REF!</f>
        <v>#REF!</v>
      </c>
      <c r="B12" s="74">
        <f>'Portage Bill'!B10</f>
        <v>0</v>
      </c>
      <c r="C12" s="223">
        <f>'Portage Bill'!B10</f>
        <v>0</v>
      </c>
      <c r="D12" s="224" t="str">
        <f>'Portage Bill'!D10</f>
        <v>2nd Officer</v>
      </c>
      <c r="E12" s="254">
        <f>'Portage Bill'!Q10</f>
        <v>0</v>
      </c>
      <c r="F12" s="225">
        <f>'Portage Bill'!R10</f>
        <v>0</v>
      </c>
      <c r="G12" s="225">
        <f>'Portage Bill'!S10</f>
        <v>0</v>
      </c>
      <c r="H12" s="225">
        <f>'Portage Bill'!T10</f>
        <v>0</v>
      </c>
      <c r="I12" s="225">
        <f>'Portage Bill'!U10</f>
        <v>0</v>
      </c>
      <c r="J12" s="225">
        <f>'Portage Bill'!V10</f>
        <v>0</v>
      </c>
      <c r="K12" s="225">
        <f>'Portage Bill'!W10</f>
        <v>0</v>
      </c>
      <c r="L12" s="225">
        <f>'Portage Bill'!X10</f>
        <v>0</v>
      </c>
      <c r="M12" s="225">
        <f>'Portage Bill'!Y10</f>
        <v>0</v>
      </c>
      <c r="N12" s="225">
        <f>'Portage Bill'!Z10</f>
        <v>0</v>
      </c>
      <c r="O12" s="225">
        <f t="shared" si="0"/>
        <v>0</v>
      </c>
      <c r="P12" s="226">
        <f>'Portage Bill'!AB10</f>
        <v>0</v>
      </c>
      <c r="Q12" s="229"/>
      <c r="R12" s="256">
        <f t="shared" si="1"/>
        <v>0</v>
      </c>
      <c r="S12" s="227"/>
      <c r="T12" s="1"/>
      <c r="U12" s="285">
        <v>0</v>
      </c>
      <c r="V12" s="320">
        <v>0</v>
      </c>
      <c r="W12" s="285">
        <f t="shared" si="2"/>
        <v>0</v>
      </c>
    </row>
    <row r="13" spans="1:23" ht="15" customHeight="1" x14ac:dyDescent="0.4">
      <c r="A13" s="73" t="e">
        <f>'Portage Bill'!#REF!</f>
        <v>#REF!</v>
      </c>
      <c r="B13" s="74">
        <f>'Portage Bill'!B11</f>
        <v>0</v>
      </c>
      <c r="C13" s="223">
        <f>'Portage Bill'!B11</f>
        <v>0</v>
      </c>
      <c r="D13" s="224" t="str">
        <f>'Portage Bill'!D11</f>
        <v>3d Officer</v>
      </c>
      <c r="E13" s="254">
        <f>'Portage Bill'!Q11</f>
        <v>0</v>
      </c>
      <c r="F13" s="225">
        <f>'Portage Bill'!R11</f>
        <v>0</v>
      </c>
      <c r="G13" s="225">
        <f>'Portage Bill'!S11</f>
        <v>0</v>
      </c>
      <c r="H13" s="225">
        <f>'Portage Bill'!T11</f>
        <v>0</v>
      </c>
      <c r="I13" s="225">
        <f>'Portage Bill'!U11</f>
        <v>0</v>
      </c>
      <c r="J13" s="225">
        <f>'Portage Bill'!V11</f>
        <v>0</v>
      </c>
      <c r="K13" s="225">
        <f>'Portage Bill'!W11</f>
        <v>0</v>
      </c>
      <c r="L13" s="225">
        <f>'Portage Bill'!X11</f>
        <v>0</v>
      </c>
      <c r="M13" s="225">
        <f>'Portage Bill'!Y11</f>
        <v>0</v>
      </c>
      <c r="N13" s="225">
        <f>'Portage Bill'!Z11</f>
        <v>0</v>
      </c>
      <c r="O13" s="225">
        <f t="shared" si="0"/>
        <v>0</v>
      </c>
      <c r="P13" s="226">
        <f>'Portage Bill'!AB11</f>
        <v>0</v>
      </c>
      <c r="Q13" s="229"/>
      <c r="R13" s="256">
        <f t="shared" si="1"/>
        <v>0</v>
      </c>
      <c r="S13" s="227"/>
      <c r="T13" s="1"/>
      <c r="U13" s="285">
        <v>0</v>
      </c>
      <c r="V13" s="320">
        <v>0</v>
      </c>
      <c r="W13" s="285">
        <f t="shared" si="2"/>
        <v>0</v>
      </c>
    </row>
    <row r="14" spans="1:23" ht="15" customHeight="1" x14ac:dyDescent="0.4">
      <c r="A14" s="73" t="e">
        <f>'Portage Bill'!#REF!</f>
        <v>#REF!</v>
      </c>
      <c r="B14" s="74">
        <f>'Portage Bill'!B12</f>
        <v>0</v>
      </c>
      <c r="C14" s="223">
        <f>'Portage Bill'!B12</f>
        <v>0</v>
      </c>
      <c r="D14" s="224" t="str">
        <f>'Portage Bill'!D12</f>
        <v>Chief Engineer</v>
      </c>
      <c r="E14" s="254">
        <f>'Portage Bill'!Q12</f>
        <v>0</v>
      </c>
      <c r="F14" s="225">
        <f>'Portage Bill'!R12</f>
        <v>0</v>
      </c>
      <c r="G14" s="225">
        <f>'Portage Bill'!S12</f>
        <v>0</v>
      </c>
      <c r="H14" s="225">
        <f>'Portage Bill'!T12</f>
        <v>0</v>
      </c>
      <c r="I14" s="225">
        <f>'Portage Bill'!U12</f>
        <v>0</v>
      </c>
      <c r="J14" s="225">
        <f>'Portage Bill'!V12</f>
        <v>0</v>
      </c>
      <c r="K14" s="225">
        <f>'Portage Bill'!W12</f>
        <v>0</v>
      </c>
      <c r="L14" s="225">
        <f>'Portage Bill'!X12</f>
        <v>0</v>
      </c>
      <c r="M14" s="225">
        <f>'Portage Bill'!Y12</f>
        <v>0</v>
      </c>
      <c r="N14" s="225">
        <f>'Portage Bill'!Z12</f>
        <v>0</v>
      </c>
      <c r="O14" s="225">
        <f t="shared" si="0"/>
        <v>0</v>
      </c>
      <c r="P14" s="226">
        <f>'Portage Bill'!AB12</f>
        <v>0</v>
      </c>
      <c r="Q14" s="229"/>
      <c r="R14" s="256">
        <f t="shared" si="1"/>
        <v>0</v>
      </c>
      <c r="S14" s="227"/>
      <c r="T14" s="1"/>
      <c r="U14" s="285">
        <v>0</v>
      </c>
      <c r="V14" s="320">
        <v>0</v>
      </c>
      <c r="W14" s="285">
        <f t="shared" si="2"/>
        <v>0</v>
      </c>
    </row>
    <row r="15" spans="1:23" ht="15" customHeight="1" x14ac:dyDescent="0.4">
      <c r="A15" s="73" t="e">
        <f>'Portage Bill'!#REF!</f>
        <v>#REF!</v>
      </c>
      <c r="B15" s="74">
        <f>'Portage Bill'!B13</f>
        <v>0</v>
      </c>
      <c r="C15" s="223">
        <f>'Portage Bill'!B13</f>
        <v>0</v>
      </c>
      <c r="D15" s="224" t="str">
        <f>'Portage Bill'!D13</f>
        <v>2nd Engineer</v>
      </c>
      <c r="E15" s="254">
        <f>'Portage Bill'!Q13</f>
        <v>0</v>
      </c>
      <c r="F15" s="225">
        <f>'Portage Bill'!R13</f>
        <v>0</v>
      </c>
      <c r="G15" s="225">
        <f>'Portage Bill'!S13</f>
        <v>0</v>
      </c>
      <c r="H15" s="225">
        <f>'Portage Bill'!T13</f>
        <v>0</v>
      </c>
      <c r="I15" s="225">
        <f>'Portage Bill'!U13</f>
        <v>0</v>
      </c>
      <c r="J15" s="225">
        <f>'Portage Bill'!V13</f>
        <v>0</v>
      </c>
      <c r="K15" s="225">
        <f>'Portage Bill'!W13</f>
        <v>0</v>
      </c>
      <c r="L15" s="225">
        <f>'Portage Bill'!X13</f>
        <v>0</v>
      </c>
      <c r="M15" s="225">
        <f>'Portage Bill'!Y13</f>
        <v>0</v>
      </c>
      <c r="N15" s="225">
        <f>'Portage Bill'!Z13</f>
        <v>0</v>
      </c>
      <c r="O15" s="225">
        <f t="shared" si="0"/>
        <v>0</v>
      </c>
      <c r="P15" s="226">
        <f>'Portage Bill'!AB13</f>
        <v>0</v>
      </c>
      <c r="Q15" s="229"/>
      <c r="R15" s="256">
        <f t="shared" si="1"/>
        <v>0</v>
      </c>
      <c r="S15" s="227"/>
      <c r="T15" s="1"/>
      <c r="U15" s="285">
        <v>0</v>
      </c>
      <c r="V15" s="320">
        <v>0</v>
      </c>
      <c r="W15" s="285">
        <f t="shared" si="2"/>
        <v>0</v>
      </c>
    </row>
    <row r="16" spans="1:23" ht="15" customHeight="1" x14ac:dyDescent="0.4">
      <c r="A16" s="73" t="e">
        <f>'Portage Bill'!#REF!</f>
        <v>#REF!</v>
      </c>
      <c r="B16" s="74">
        <f>'Portage Bill'!B14</f>
        <v>0</v>
      </c>
      <c r="C16" s="223">
        <f>'Portage Bill'!B14</f>
        <v>0</v>
      </c>
      <c r="D16" s="224" t="str">
        <f>'Portage Bill'!D14</f>
        <v>3d Engineer</v>
      </c>
      <c r="E16" s="254">
        <f>'Portage Bill'!Q14</f>
        <v>0</v>
      </c>
      <c r="F16" s="225">
        <f>'Portage Bill'!R14</f>
        <v>0</v>
      </c>
      <c r="G16" s="225">
        <f>'Portage Bill'!S14</f>
        <v>0</v>
      </c>
      <c r="H16" s="225">
        <f>'Portage Bill'!T14</f>
        <v>0</v>
      </c>
      <c r="I16" s="225">
        <f>'Portage Bill'!U14</f>
        <v>0</v>
      </c>
      <c r="J16" s="225">
        <f>'Portage Bill'!V14</f>
        <v>0</v>
      </c>
      <c r="K16" s="225">
        <f>'Portage Bill'!W14</f>
        <v>0</v>
      </c>
      <c r="L16" s="225">
        <f>'Portage Bill'!X14</f>
        <v>0</v>
      </c>
      <c r="M16" s="225">
        <f>'Portage Bill'!Y14</f>
        <v>0</v>
      </c>
      <c r="N16" s="225">
        <f>'Portage Bill'!Z14</f>
        <v>0</v>
      </c>
      <c r="O16" s="225">
        <f t="shared" si="0"/>
        <v>0</v>
      </c>
      <c r="P16" s="226">
        <f>'Portage Bill'!AB14</f>
        <v>0</v>
      </c>
      <c r="Q16" s="229"/>
      <c r="R16" s="256">
        <f t="shared" si="1"/>
        <v>0</v>
      </c>
      <c r="S16" s="227"/>
      <c r="T16" s="1"/>
      <c r="U16" s="285">
        <v>0</v>
      </c>
      <c r="V16" s="320">
        <v>0</v>
      </c>
      <c r="W16" s="285">
        <f t="shared" si="2"/>
        <v>0</v>
      </c>
    </row>
    <row r="17" spans="1:23" ht="15" customHeight="1" x14ac:dyDescent="0.4">
      <c r="A17" s="73"/>
      <c r="B17" s="74"/>
      <c r="C17" s="223">
        <f>'Portage Bill'!B15</f>
        <v>0</v>
      </c>
      <c r="D17" s="224" t="str">
        <f>'Portage Bill'!D15</f>
        <v>4th Engineer</v>
      </c>
      <c r="E17" s="254">
        <f>'Portage Bill'!Q15</f>
        <v>0</v>
      </c>
      <c r="F17" s="225">
        <f>'Portage Bill'!R15</f>
        <v>0</v>
      </c>
      <c r="G17" s="225">
        <f>'Portage Bill'!S15</f>
        <v>0</v>
      </c>
      <c r="H17" s="225">
        <f>'Portage Bill'!T15</f>
        <v>0</v>
      </c>
      <c r="I17" s="225">
        <f>'Portage Bill'!U15</f>
        <v>0</v>
      </c>
      <c r="J17" s="225">
        <f>'Portage Bill'!V15</f>
        <v>0</v>
      </c>
      <c r="K17" s="225">
        <f>'Portage Bill'!W15</f>
        <v>0</v>
      </c>
      <c r="L17" s="225">
        <f>'Portage Bill'!X15</f>
        <v>0</v>
      </c>
      <c r="M17" s="225">
        <f>'Portage Bill'!Y15</f>
        <v>0</v>
      </c>
      <c r="N17" s="225">
        <f>'Portage Bill'!Z15</f>
        <v>0</v>
      </c>
      <c r="O17" s="225">
        <f t="shared" si="0"/>
        <v>0</v>
      </c>
      <c r="P17" s="226">
        <f>'Portage Bill'!AB15</f>
        <v>0</v>
      </c>
      <c r="Q17" s="229"/>
      <c r="R17" s="256">
        <f t="shared" si="1"/>
        <v>0</v>
      </c>
      <c r="S17" s="227"/>
      <c r="T17" s="1"/>
      <c r="U17" s="285">
        <v>0</v>
      </c>
      <c r="V17" s="320">
        <v>0</v>
      </c>
      <c r="W17" s="285">
        <f t="shared" si="2"/>
        <v>0</v>
      </c>
    </row>
    <row r="18" spans="1:23" ht="15" customHeight="1" x14ac:dyDescent="0.4">
      <c r="A18" s="73"/>
      <c r="B18" s="74"/>
      <c r="C18" s="223">
        <f>'Portage Bill'!B16</f>
        <v>0</v>
      </c>
      <c r="D18" s="224" t="str">
        <f>'Portage Bill'!D16</f>
        <v>El.ENG</v>
      </c>
      <c r="E18" s="254">
        <f>'Portage Bill'!Q16</f>
        <v>0</v>
      </c>
      <c r="F18" s="225">
        <f>'Portage Bill'!R16</f>
        <v>0</v>
      </c>
      <c r="G18" s="225">
        <f>'Portage Bill'!S16</f>
        <v>0</v>
      </c>
      <c r="H18" s="225">
        <f>'Portage Bill'!T16</f>
        <v>0</v>
      </c>
      <c r="I18" s="225">
        <f>'Portage Bill'!U16</f>
        <v>0</v>
      </c>
      <c r="J18" s="225">
        <f>'Portage Bill'!V16</f>
        <v>0</v>
      </c>
      <c r="K18" s="225">
        <f>'Portage Bill'!W16</f>
        <v>0</v>
      </c>
      <c r="L18" s="225">
        <f>'Portage Bill'!X16</f>
        <v>0</v>
      </c>
      <c r="M18" s="225">
        <f>'Portage Bill'!Y16</f>
        <v>0</v>
      </c>
      <c r="N18" s="225">
        <f>'Portage Bill'!Z16</f>
        <v>0</v>
      </c>
      <c r="O18" s="225">
        <f t="shared" ref="O18:O31" si="3">E18-N18</f>
        <v>0</v>
      </c>
      <c r="P18" s="226">
        <f>'Portage Bill'!AB16</f>
        <v>0</v>
      </c>
      <c r="Q18" s="229"/>
      <c r="R18" s="256">
        <f t="shared" ref="R18:R31" si="4">SUM(O18:Q18)</f>
        <v>0</v>
      </c>
      <c r="S18" s="227"/>
      <c r="T18" s="1"/>
      <c r="U18" s="285">
        <v>0</v>
      </c>
      <c r="V18" s="320">
        <v>0</v>
      </c>
      <c r="W18" s="285">
        <f t="shared" si="2"/>
        <v>0</v>
      </c>
    </row>
    <row r="19" spans="1:23" ht="15" customHeight="1" x14ac:dyDescent="0.4">
      <c r="A19" s="73"/>
      <c r="B19" s="74"/>
      <c r="C19" s="223">
        <f>'Portage Bill'!B17</f>
        <v>0</v>
      </c>
      <c r="D19" s="224" t="str">
        <f>'Portage Bill'!D17</f>
        <v>Bosun</v>
      </c>
      <c r="E19" s="254">
        <f>'Portage Bill'!Q17</f>
        <v>0</v>
      </c>
      <c r="F19" s="225">
        <f>'Portage Bill'!R17</f>
        <v>0</v>
      </c>
      <c r="G19" s="225">
        <f>'Portage Bill'!S17</f>
        <v>0</v>
      </c>
      <c r="H19" s="225">
        <f>'Portage Bill'!T17</f>
        <v>0</v>
      </c>
      <c r="I19" s="225">
        <f>'Portage Bill'!U17</f>
        <v>0</v>
      </c>
      <c r="J19" s="225">
        <f>'Portage Bill'!V17</f>
        <v>0</v>
      </c>
      <c r="K19" s="225">
        <f>'Portage Bill'!W17</f>
        <v>0</v>
      </c>
      <c r="L19" s="225">
        <f>'Portage Bill'!X17</f>
        <v>0</v>
      </c>
      <c r="M19" s="225">
        <f>'Portage Bill'!Y17</f>
        <v>0</v>
      </c>
      <c r="N19" s="225">
        <f>'Portage Bill'!Z17</f>
        <v>0</v>
      </c>
      <c r="O19" s="225">
        <f t="shared" si="3"/>
        <v>0</v>
      </c>
      <c r="P19" s="226">
        <f>'Portage Bill'!AB17</f>
        <v>0</v>
      </c>
      <c r="Q19" s="229"/>
      <c r="R19" s="256">
        <f t="shared" si="4"/>
        <v>0</v>
      </c>
      <c r="S19" s="227"/>
      <c r="T19" s="1"/>
      <c r="U19" s="285">
        <v>0</v>
      </c>
      <c r="V19" s="320">
        <v>0</v>
      </c>
      <c r="W19" s="285">
        <f t="shared" si="2"/>
        <v>0</v>
      </c>
    </row>
    <row r="20" spans="1:23" ht="15" customHeight="1" x14ac:dyDescent="0.4">
      <c r="A20" s="73"/>
      <c r="B20" s="74"/>
      <c r="C20" s="223">
        <f>'Portage Bill'!B18</f>
        <v>0</v>
      </c>
      <c r="D20" s="224" t="str">
        <f>'Portage Bill'!D18</f>
        <v>ABS</v>
      </c>
      <c r="E20" s="254">
        <f>'Portage Bill'!Q18</f>
        <v>0</v>
      </c>
      <c r="F20" s="225">
        <f>'Portage Bill'!R18</f>
        <v>0</v>
      </c>
      <c r="G20" s="225">
        <f>'Portage Bill'!S18</f>
        <v>0</v>
      </c>
      <c r="H20" s="225">
        <f>'Portage Bill'!T18</f>
        <v>0</v>
      </c>
      <c r="I20" s="225">
        <f>'Portage Bill'!U18</f>
        <v>0</v>
      </c>
      <c r="J20" s="225">
        <f>'Portage Bill'!V18</f>
        <v>0</v>
      </c>
      <c r="K20" s="225">
        <f>'Portage Bill'!W18</f>
        <v>0</v>
      </c>
      <c r="L20" s="225">
        <f>'Portage Bill'!X18</f>
        <v>0</v>
      </c>
      <c r="M20" s="225">
        <f>'Portage Bill'!Y18</f>
        <v>0</v>
      </c>
      <c r="N20" s="225">
        <f>'Portage Bill'!Z18</f>
        <v>0</v>
      </c>
      <c r="O20" s="225">
        <f t="shared" si="3"/>
        <v>0</v>
      </c>
      <c r="P20" s="226">
        <f>'Portage Bill'!AB18</f>
        <v>0</v>
      </c>
      <c r="Q20" s="229"/>
      <c r="R20" s="256">
        <f t="shared" si="4"/>
        <v>0</v>
      </c>
      <c r="S20" s="227"/>
      <c r="T20" s="1"/>
      <c r="U20" s="285">
        <v>0</v>
      </c>
      <c r="V20" s="320">
        <v>0</v>
      </c>
      <c r="W20" s="285">
        <f t="shared" si="2"/>
        <v>0</v>
      </c>
    </row>
    <row r="21" spans="1:23" ht="15" customHeight="1" x14ac:dyDescent="0.4">
      <c r="A21" s="73"/>
      <c r="B21" s="74"/>
      <c r="C21" s="223">
        <f>'Portage Bill'!B19</f>
        <v>0</v>
      </c>
      <c r="D21" s="224" t="str">
        <f>'Portage Bill'!D19</f>
        <v>ABS</v>
      </c>
      <c r="E21" s="254">
        <f>'Portage Bill'!Q19</f>
        <v>0</v>
      </c>
      <c r="F21" s="225">
        <f>'Portage Bill'!R19</f>
        <v>0</v>
      </c>
      <c r="G21" s="225">
        <f>'Portage Bill'!S19</f>
        <v>0</v>
      </c>
      <c r="H21" s="225">
        <f>'Portage Bill'!T19</f>
        <v>0</v>
      </c>
      <c r="I21" s="225">
        <f>'Portage Bill'!U19</f>
        <v>0</v>
      </c>
      <c r="J21" s="225">
        <f>'Portage Bill'!V19</f>
        <v>0</v>
      </c>
      <c r="K21" s="225">
        <f>'Portage Bill'!W19</f>
        <v>0</v>
      </c>
      <c r="L21" s="225">
        <f>'Portage Bill'!X19</f>
        <v>0</v>
      </c>
      <c r="M21" s="225">
        <f>'Portage Bill'!Y19</f>
        <v>0</v>
      </c>
      <c r="N21" s="225">
        <f>'Portage Bill'!Z19</f>
        <v>0</v>
      </c>
      <c r="O21" s="225">
        <f t="shared" si="3"/>
        <v>0</v>
      </c>
      <c r="P21" s="226">
        <f>'Portage Bill'!AB19</f>
        <v>0</v>
      </c>
      <c r="Q21" s="229"/>
      <c r="R21" s="256">
        <f t="shared" si="4"/>
        <v>0</v>
      </c>
      <c r="S21" s="227"/>
      <c r="T21" s="1"/>
      <c r="U21" s="285">
        <v>0</v>
      </c>
      <c r="V21" s="320">
        <v>0</v>
      </c>
      <c r="W21" s="285">
        <f t="shared" si="2"/>
        <v>0</v>
      </c>
    </row>
    <row r="22" spans="1:23" ht="15" customHeight="1" x14ac:dyDescent="0.4">
      <c r="A22" s="73"/>
      <c r="B22" s="74"/>
      <c r="C22" s="223">
        <f>'Portage Bill'!B20</f>
        <v>0</v>
      </c>
      <c r="D22" s="224" t="str">
        <f>'Portage Bill'!D20</f>
        <v>ABS</v>
      </c>
      <c r="E22" s="254">
        <f>'Portage Bill'!Q20</f>
        <v>0</v>
      </c>
      <c r="F22" s="225">
        <f>'Portage Bill'!R20</f>
        <v>0</v>
      </c>
      <c r="G22" s="225">
        <f>'Portage Bill'!S20</f>
        <v>0</v>
      </c>
      <c r="H22" s="225">
        <f>'Portage Bill'!T20</f>
        <v>0</v>
      </c>
      <c r="I22" s="225">
        <f>'Portage Bill'!U20</f>
        <v>0</v>
      </c>
      <c r="J22" s="225">
        <f>'Portage Bill'!V20</f>
        <v>0</v>
      </c>
      <c r="K22" s="225">
        <f>'Portage Bill'!W20</f>
        <v>0</v>
      </c>
      <c r="L22" s="225">
        <f>'Portage Bill'!X20</f>
        <v>0</v>
      </c>
      <c r="M22" s="225">
        <f>'Portage Bill'!Y20</f>
        <v>0</v>
      </c>
      <c r="N22" s="225">
        <f>'Portage Bill'!Z20</f>
        <v>0</v>
      </c>
      <c r="O22" s="225">
        <f>E22-N22</f>
        <v>0</v>
      </c>
      <c r="P22" s="226">
        <f>'Portage Bill'!AB20</f>
        <v>0</v>
      </c>
      <c r="Q22" s="229"/>
      <c r="R22" s="256">
        <f>SUM(O22:Q22)</f>
        <v>0</v>
      </c>
      <c r="S22" s="227"/>
      <c r="T22" s="1"/>
      <c r="U22" s="285">
        <v>0</v>
      </c>
      <c r="V22" s="320">
        <v>0</v>
      </c>
      <c r="W22" s="285">
        <f t="shared" si="2"/>
        <v>0</v>
      </c>
    </row>
    <row r="23" spans="1:23" ht="15" customHeight="1" x14ac:dyDescent="0.4">
      <c r="A23" s="73"/>
      <c r="B23" s="74"/>
      <c r="C23" s="223">
        <f>'Portage Bill'!B21</f>
        <v>0</v>
      </c>
      <c r="D23" s="224" t="str">
        <f>'Portage Bill'!D21</f>
        <v>OS</v>
      </c>
      <c r="E23" s="254">
        <f>'Portage Bill'!Q21</f>
        <v>0</v>
      </c>
      <c r="F23" s="225">
        <f>'Portage Bill'!R21</f>
        <v>0</v>
      </c>
      <c r="G23" s="225">
        <f>'Portage Bill'!S21</f>
        <v>0</v>
      </c>
      <c r="H23" s="225">
        <f>'Portage Bill'!T21</f>
        <v>0</v>
      </c>
      <c r="I23" s="225">
        <f>'Portage Bill'!U21</f>
        <v>0</v>
      </c>
      <c r="J23" s="225">
        <f>'Portage Bill'!V21</f>
        <v>0</v>
      </c>
      <c r="K23" s="225">
        <f>'Portage Bill'!W21</f>
        <v>0</v>
      </c>
      <c r="L23" s="225">
        <f>'Portage Bill'!X21</f>
        <v>0</v>
      </c>
      <c r="M23" s="225">
        <f>'Portage Bill'!Y21</f>
        <v>0</v>
      </c>
      <c r="N23" s="225">
        <f>'Portage Bill'!Z21</f>
        <v>0</v>
      </c>
      <c r="O23" s="225">
        <f>E23-N23</f>
        <v>0</v>
      </c>
      <c r="P23" s="226">
        <f>'Portage Bill'!AB21</f>
        <v>0</v>
      </c>
      <c r="Q23" s="229"/>
      <c r="R23" s="256">
        <f>SUM(O23:Q23)</f>
        <v>0</v>
      </c>
      <c r="S23" s="227"/>
      <c r="T23" s="1"/>
      <c r="U23" s="285">
        <v>0</v>
      </c>
      <c r="V23" s="320">
        <v>0</v>
      </c>
      <c r="W23" s="285">
        <f t="shared" si="2"/>
        <v>0</v>
      </c>
    </row>
    <row r="24" spans="1:23" ht="15" customHeight="1" x14ac:dyDescent="0.4">
      <c r="A24" s="73"/>
      <c r="B24" s="74"/>
      <c r="C24" s="223">
        <f>'Portage Bill'!B22</f>
        <v>0</v>
      </c>
      <c r="D24" s="224" t="str">
        <f>'Portage Bill'!D22</f>
        <v>OS</v>
      </c>
      <c r="E24" s="254">
        <f>'Portage Bill'!Q22</f>
        <v>0</v>
      </c>
      <c r="F24" s="225">
        <f>'Portage Bill'!R22</f>
        <v>0</v>
      </c>
      <c r="G24" s="225">
        <f>'Portage Bill'!S22</f>
        <v>0</v>
      </c>
      <c r="H24" s="225">
        <f>'Portage Bill'!T22</f>
        <v>0</v>
      </c>
      <c r="I24" s="225">
        <f>'Portage Bill'!U22</f>
        <v>0</v>
      </c>
      <c r="J24" s="225">
        <f>'Portage Bill'!V22</f>
        <v>0</v>
      </c>
      <c r="K24" s="225">
        <f>'Portage Bill'!W22</f>
        <v>0</v>
      </c>
      <c r="L24" s="225">
        <f>'Portage Bill'!X22</f>
        <v>0</v>
      </c>
      <c r="M24" s="225">
        <f>'Portage Bill'!Y22</f>
        <v>0</v>
      </c>
      <c r="N24" s="225">
        <f>'Portage Bill'!Z22</f>
        <v>0</v>
      </c>
      <c r="O24" s="225">
        <f t="shared" si="3"/>
        <v>0</v>
      </c>
      <c r="P24" s="226">
        <f>'Portage Bill'!AB22</f>
        <v>0</v>
      </c>
      <c r="Q24" s="229"/>
      <c r="R24" s="256">
        <f t="shared" si="4"/>
        <v>0</v>
      </c>
      <c r="S24" s="227"/>
      <c r="T24" s="1"/>
      <c r="U24" s="285">
        <v>0</v>
      </c>
      <c r="V24" s="320">
        <v>0</v>
      </c>
      <c r="W24" s="285">
        <f t="shared" si="2"/>
        <v>0</v>
      </c>
    </row>
    <row r="25" spans="1:23" ht="15" customHeight="1" x14ac:dyDescent="0.4">
      <c r="A25" s="73"/>
      <c r="B25" s="74"/>
      <c r="C25" s="223">
        <f>'Portage Bill'!B23</f>
        <v>0</v>
      </c>
      <c r="D25" s="224" t="str">
        <f>'Portage Bill'!D23</f>
        <v>Motorman</v>
      </c>
      <c r="E25" s="254">
        <f>'Portage Bill'!Q23</f>
        <v>0</v>
      </c>
      <c r="F25" s="225">
        <f>'Portage Bill'!R23</f>
        <v>0</v>
      </c>
      <c r="G25" s="225">
        <f>'Portage Bill'!S23</f>
        <v>0</v>
      </c>
      <c r="H25" s="225">
        <f>'Portage Bill'!T23</f>
        <v>0</v>
      </c>
      <c r="I25" s="225">
        <f>'Portage Bill'!U23</f>
        <v>0</v>
      </c>
      <c r="J25" s="225">
        <f>'Portage Bill'!V23</f>
        <v>0</v>
      </c>
      <c r="K25" s="225">
        <f>'Portage Bill'!W23</f>
        <v>0</v>
      </c>
      <c r="L25" s="225">
        <f>'Portage Bill'!X23</f>
        <v>0</v>
      </c>
      <c r="M25" s="225">
        <f>'Portage Bill'!Y23</f>
        <v>0</v>
      </c>
      <c r="N25" s="225">
        <f>'Portage Bill'!Z23</f>
        <v>0</v>
      </c>
      <c r="O25" s="225">
        <f t="shared" si="3"/>
        <v>0</v>
      </c>
      <c r="P25" s="226">
        <f>'Portage Bill'!AB23</f>
        <v>0</v>
      </c>
      <c r="Q25" s="229"/>
      <c r="R25" s="256">
        <f t="shared" si="4"/>
        <v>0</v>
      </c>
      <c r="S25" s="227"/>
      <c r="T25" s="1"/>
      <c r="U25" s="285">
        <v>0</v>
      </c>
      <c r="V25" s="320">
        <v>0</v>
      </c>
      <c r="W25" s="285">
        <f t="shared" si="2"/>
        <v>0</v>
      </c>
    </row>
    <row r="26" spans="1:23" ht="15" customHeight="1" x14ac:dyDescent="0.4">
      <c r="A26" s="73"/>
      <c r="B26" s="74"/>
      <c r="C26" s="223">
        <f>'Portage Bill'!B24</f>
        <v>0</v>
      </c>
      <c r="D26" s="224" t="str">
        <f>'Portage Bill'!D24</f>
        <v>Motorman</v>
      </c>
      <c r="E26" s="254">
        <f>'Portage Bill'!Q24</f>
        <v>0</v>
      </c>
      <c r="F26" s="225">
        <f>'Portage Bill'!R24</f>
        <v>0</v>
      </c>
      <c r="G26" s="225">
        <f>'Portage Bill'!S24</f>
        <v>0</v>
      </c>
      <c r="H26" s="225">
        <f>'Portage Bill'!T24</f>
        <v>0</v>
      </c>
      <c r="I26" s="225">
        <f>'Portage Bill'!U24</f>
        <v>0</v>
      </c>
      <c r="J26" s="225">
        <f>'Portage Bill'!V24</f>
        <v>0</v>
      </c>
      <c r="K26" s="225">
        <f>'Portage Bill'!W24</f>
        <v>0</v>
      </c>
      <c r="L26" s="225">
        <f>'Portage Bill'!X24</f>
        <v>0</v>
      </c>
      <c r="M26" s="225">
        <f>'Portage Bill'!Y24</f>
        <v>0</v>
      </c>
      <c r="N26" s="225">
        <f>'Portage Bill'!Z24</f>
        <v>0</v>
      </c>
      <c r="O26" s="225">
        <f t="shared" si="3"/>
        <v>0</v>
      </c>
      <c r="P26" s="226">
        <f>'Portage Bill'!AB24</f>
        <v>0</v>
      </c>
      <c r="Q26" s="229"/>
      <c r="R26" s="256">
        <f t="shared" si="4"/>
        <v>0</v>
      </c>
      <c r="S26" s="227"/>
      <c r="T26" s="1"/>
      <c r="U26" s="285">
        <v>0</v>
      </c>
      <c r="V26" s="320">
        <v>0</v>
      </c>
      <c r="W26" s="285">
        <f t="shared" si="2"/>
        <v>0</v>
      </c>
    </row>
    <row r="27" spans="1:23" ht="15" customHeight="1" x14ac:dyDescent="0.4">
      <c r="A27" s="73"/>
      <c r="B27" s="74"/>
      <c r="C27" s="223">
        <f>'Portage Bill'!B25</f>
        <v>0</v>
      </c>
      <c r="D27" s="224" t="str">
        <f>'Portage Bill'!D25</f>
        <v>Motorman</v>
      </c>
      <c r="E27" s="254">
        <f>'Portage Bill'!Q25</f>
        <v>0</v>
      </c>
      <c r="F27" s="225">
        <f>'Portage Bill'!R25</f>
        <v>0</v>
      </c>
      <c r="G27" s="225">
        <f>'Portage Bill'!S25</f>
        <v>0</v>
      </c>
      <c r="H27" s="225">
        <f>'Portage Bill'!T25</f>
        <v>0</v>
      </c>
      <c r="I27" s="225">
        <f>'Portage Bill'!U25</f>
        <v>0</v>
      </c>
      <c r="J27" s="225">
        <f>'Portage Bill'!V25</f>
        <v>0</v>
      </c>
      <c r="K27" s="225">
        <f>'Portage Bill'!W25</f>
        <v>0</v>
      </c>
      <c r="L27" s="225">
        <f>'Portage Bill'!X25</f>
        <v>0</v>
      </c>
      <c r="M27" s="225">
        <f>'Portage Bill'!Y25</f>
        <v>0</v>
      </c>
      <c r="N27" s="225">
        <f>'Portage Bill'!Z25</f>
        <v>0</v>
      </c>
      <c r="O27" s="225">
        <f t="shared" si="3"/>
        <v>0</v>
      </c>
      <c r="P27" s="226">
        <f>'Portage Bill'!AB25</f>
        <v>0</v>
      </c>
      <c r="Q27" s="229"/>
      <c r="R27" s="256">
        <f t="shared" si="4"/>
        <v>0</v>
      </c>
      <c r="S27" s="227"/>
      <c r="T27" s="1"/>
      <c r="U27" s="285">
        <v>0</v>
      </c>
      <c r="V27" s="320">
        <v>0</v>
      </c>
      <c r="W27" s="285">
        <f t="shared" si="2"/>
        <v>0</v>
      </c>
    </row>
    <row r="28" spans="1:23" ht="15" customHeight="1" x14ac:dyDescent="0.4">
      <c r="A28" s="73"/>
      <c r="B28" s="74"/>
      <c r="C28" s="223">
        <f>'Portage Bill'!B26</f>
        <v>0</v>
      </c>
      <c r="D28" s="224" t="str">
        <f>'Portage Bill'!D26</f>
        <v>Wiper</v>
      </c>
      <c r="E28" s="254">
        <f>'Portage Bill'!Q26</f>
        <v>0</v>
      </c>
      <c r="F28" s="225">
        <f>'Portage Bill'!R26</f>
        <v>0</v>
      </c>
      <c r="G28" s="225">
        <f>'Portage Bill'!S26</f>
        <v>0</v>
      </c>
      <c r="H28" s="225">
        <f>'Portage Bill'!T26</f>
        <v>0</v>
      </c>
      <c r="I28" s="225">
        <f>'Portage Bill'!U26</f>
        <v>0</v>
      </c>
      <c r="J28" s="225">
        <f>'Portage Bill'!V26</f>
        <v>0</v>
      </c>
      <c r="K28" s="225">
        <f>'Portage Bill'!W26</f>
        <v>0</v>
      </c>
      <c r="L28" s="225">
        <f>'Portage Bill'!X26</f>
        <v>0</v>
      </c>
      <c r="M28" s="225">
        <f>'Portage Bill'!Y26</f>
        <v>0</v>
      </c>
      <c r="N28" s="225">
        <f>'Portage Bill'!Z26</f>
        <v>0</v>
      </c>
      <c r="O28" s="225">
        <f t="shared" si="3"/>
        <v>0</v>
      </c>
      <c r="P28" s="226">
        <f>'Portage Bill'!AB26</f>
        <v>0</v>
      </c>
      <c r="Q28" s="229"/>
      <c r="R28" s="256">
        <f t="shared" si="4"/>
        <v>0</v>
      </c>
      <c r="S28" s="227"/>
      <c r="T28" s="1"/>
      <c r="U28" s="285">
        <v>0</v>
      </c>
      <c r="V28" s="320">
        <v>0</v>
      </c>
      <c r="W28" s="285">
        <f t="shared" si="2"/>
        <v>0</v>
      </c>
    </row>
    <row r="29" spans="1:23" ht="15" customHeight="1" x14ac:dyDescent="0.4">
      <c r="A29" s="73"/>
      <c r="B29" s="74"/>
      <c r="C29" s="223">
        <f>'Portage Bill'!B27</f>
        <v>0</v>
      </c>
      <c r="D29" s="224" t="str">
        <f>'Portage Bill'!D27</f>
        <v>CCK</v>
      </c>
      <c r="E29" s="254">
        <f>'Portage Bill'!Q27</f>
        <v>0</v>
      </c>
      <c r="F29" s="225">
        <f>'Portage Bill'!R27</f>
        <v>0</v>
      </c>
      <c r="G29" s="225">
        <f>'Portage Bill'!S27</f>
        <v>0</v>
      </c>
      <c r="H29" s="225">
        <f>'Portage Bill'!T27</f>
        <v>0</v>
      </c>
      <c r="I29" s="225">
        <f>'Portage Bill'!U27</f>
        <v>0</v>
      </c>
      <c r="J29" s="225">
        <f>'Portage Bill'!V27</f>
        <v>0</v>
      </c>
      <c r="K29" s="225">
        <f>'Portage Bill'!W27</f>
        <v>0</v>
      </c>
      <c r="L29" s="225">
        <f>'Portage Bill'!X27</f>
        <v>0</v>
      </c>
      <c r="M29" s="225">
        <f>'Portage Bill'!Y27</f>
        <v>0</v>
      </c>
      <c r="N29" s="225">
        <f>'Portage Bill'!Z27</f>
        <v>0</v>
      </c>
      <c r="O29" s="225">
        <f t="shared" si="3"/>
        <v>0</v>
      </c>
      <c r="P29" s="226">
        <f>'Portage Bill'!AB27</f>
        <v>0</v>
      </c>
      <c r="Q29" s="229"/>
      <c r="R29" s="256">
        <f t="shared" si="4"/>
        <v>0</v>
      </c>
      <c r="S29" s="227"/>
      <c r="T29" s="1"/>
      <c r="U29" s="285">
        <v>0</v>
      </c>
      <c r="V29" s="320">
        <v>0</v>
      </c>
      <c r="W29" s="285">
        <f t="shared" si="2"/>
        <v>0</v>
      </c>
    </row>
    <row r="30" spans="1:23" ht="15" customHeight="1" x14ac:dyDescent="0.4">
      <c r="A30" s="73"/>
      <c r="B30" s="74"/>
      <c r="C30" s="223">
        <f>'Portage Bill'!B28</f>
        <v>0</v>
      </c>
      <c r="D30" s="224" t="str">
        <f>'Portage Bill'!D28</f>
        <v>MBOY</v>
      </c>
      <c r="E30" s="254">
        <f>'Portage Bill'!Q28</f>
        <v>0</v>
      </c>
      <c r="F30" s="225">
        <f>'Portage Bill'!R28</f>
        <v>0</v>
      </c>
      <c r="G30" s="225">
        <f>'Portage Bill'!S28</f>
        <v>0</v>
      </c>
      <c r="H30" s="225">
        <f>'Portage Bill'!T28</f>
        <v>0</v>
      </c>
      <c r="I30" s="225">
        <f>'Portage Bill'!U28</f>
        <v>0</v>
      </c>
      <c r="J30" s="225">
        <f>'Portage Bill'!V28</f>
        <v>0</v>
      </c>
      <c r="K30" s="225">
        <f>'Portage Bill'!W28</f>
        <v>0</v>
      </c>
      <c r="L30" s="225">
        <f>'Portage Bill'!X28</f>
        <v>0</v>
      </c>
      <c r="M30" s="225">
        <f>'Portage Bill'!Y28</f>
        <v>0</v>
      </c>
      <c r="N30" s="225">
        <f>'Portage Bill'!Z28</f>
        <v>0</v>
      </c>
      <c r="O30" s="225">
        <f t="shared" si="3"/>
        <v>0</v>
      </c>
      <c r="P30" s="226">
        <f>'Portage Bill'!AB28</f>
        <v>0</v>
      </c>
      <c r="Q30" s="229"/>
      <c r="R30" s="256">
        <f t="shared" si="4"/>
        <v>0</v>
      </c>
      <c r="S30" s="227"/>
      <c r="T30" s="1"/>
      <c r="U30" s="285">
        <v>0</v>
      </c>
      <c r="V30" s="320">
        <v>0</v>
      </c>
      <c r="W30" s="285">
        <f t="shared" si="2"/>
        <v>0</v>
      </c>
    </row>
    <row r="31" spans="1:23" ht="15" customHeight="1" x14ac:dyDescent="0.4">
      <c r="A31" s="73"/>
      <c r="B31" s="74"/>
      <c r="C31" s="223">
        <f>'Portage Bill'!B29</f>
        <v>0</v>
      </c>
      <c r="D31" s="224" t="str">
        <f>'Portage Bill'!D29</f>
        <v>Deck Fitter</v>
      </c>
      <c r="E31" s="254">
        <f>'Portage Bill'!Q29</f>
        <v>0</v>
      </c>
      <c r="F31" s="225">
        <f>'Portage Bill'!R29</f>
        <v>0</v>
      </c>
      <c r="G31" s="225">
        <f>'Portage Bill'!S29</f>
        <v>0</v>
      </c>
      <c r="H31" s="225">
        <f>'Portage Bill'!T29</f>
        <v>0</v>
      </c>
      <c r="I31" s="225">
        <f>'Portage Bill'!U29</f>
        <v>0</v>
      </c>
      <c r="J31" s="225">
        <f>'Portage Bill'!V29</f>
        <v>0</v>
      </c>
      <c r="K31" s="225">
        <f>'Portage Bill'!W29</f>
        <v>0</v>
      </c>
      <c r="L31" s="225">
        <f>'Portage Bill'!X29</f>
        <v>0</v>
      </c>
      <c r="M31" s="225">
        <f>'Portage Bill'!Y29</f>
        <v>0</v>
      </c>
      <c r="N31" s="225">
        <f>'Portage Bill'!Z29</f>
        <v>0</v>
      </c>
      <c r="O31" s="225">
        <f t="shared" si="3"/>
        <v>0</v>
      </c>
      <c r="P31" s="226">
        <f>'Portage Bill'!AB29</f>
        <v>0</v>
      </c>
      <c r="Q31" s="229"/>
      <c r="R31" s="256">
        <f t="shared" si="4"/>
        <v>0</v>
      </c>
      <c r="S31" s="227"/>
      <c r="T31" s="1"/>
      <c r="U31" s="285">
        <v>0</v>
      </c>
      <c r="V31" s="320">
        <v>0</v>
      </c>
      <c r="W31" s="285">
        <f t="shared" si="2"/>
        <v>0</v>
      </c>
    </row>
    <row r="32" spans="1:23" ht="15" customHeight="1" x14ac:dyDescent="0.4">
      <c r="A32" s="73"/>
      <c r="B32" s="74"/>
      <c r="C32" s="223">
        <f>'Portage Bill'!B30</f>
        <v>0</v>
      </c>
      <c r="D32" s="224" t="str">
        <f>'Portage Bill'!D30</f>
        <v>Engine Fitter</v>
      </c>
      <c r="E32" s="254">
        <f>'Portage Bill'!Q30</f>
        <v>0</v>
      </c>
      <c r="F32" s="225">
        <f>'Portage Bill'!R30</f>
        <v>0</v>
      </c>
      <c r="G32" s="225">
        <f>'Portage Bill'!S30</f>
        <v>0</v>
      </c>
      <c r="H32" s="225">
        <f>'Portage Bill'!T30</f>
        <v>0</v>
      </c>
      <c r="I32" s="225">
        <f>'Portage Bill'!U30</f>
        <v>0</v>
      </c>
      <c r="J32" s="225">
        <f>'Portage Bill'!V30</f>
        <v>0</v>
      </c>
      <c r="K32" s="225">
        <f>'Portage Bill'!W30</f>
        <v>0</v>
      </c>
      <c r="L32" s="225">
        <f>'Portage Bill'!X30</f>
        <v>0</v>
      </c>
      <c r="M32" s="225">
        <f>'Portage Bill'!Y30</f>
        <v>0</v>
      </c>
      <c r="N32" s="225">
        <f>'Portage Bill'!Z30</f>
        <v>0</v>
      </c>
      <c r="O32" s="225">
        <f>E32-N32</f>
        <v>0</v>
      </c>
      <c r="P32" s="226">
        <f>'Portage Bill'!AB30</f>
        <v>0</v>
      </c>
      <c r="Q32" s="229"/>
      <c r="R32" s="256">
        <f>SUM(O32:Q32)</f>
        <v>0</v>
      </c>
      <c r="S32" s="227"/>
      <c r="T32" s="1"/>
      <c r="U32" s="285">
        <v>0</v>
      </c>
      <c r="V32" s="320">
        <v>0</v>
      </c>
      <c r="W32" s="285">
        <f t="shared" si="2"/>
        <v>0</v>
      </c>
    </row>
    <row r="33" spans="1:23" ht="15" customHeight="1" x14ac:dyDescent="0.4">
      <c r="A33" s="73"/>
      <c r="B33" s="74"/>
      <c r="C33" s="223">
        <f>'Portage Bill'!B31</f>
        <v>0</v>
      </c>
      <c r="D33" s="224" t="str">
        <f>'Portage Bill'!D31</f>
        <v>Electrician</v>
      </c>
      <c r="E33" s="254">
        <f>'Portage Bill'!Q31</f>
        <v>0</v>
      </c>
      <c r="F33" s="225">
        <f>'Portage Bill'!R31</f>
        <v>0</v>
      </c>
      <c r="G33" s="225">
        <f>'Portage Bill'!S31</f>
        <v>0</v>
      </c>
      <c r="H33" s="225">
        <f>'Portage Bill'!T31</f>
        <v>0</v>
      </c>
      <c r="I33" s="225">
        <f>'Portage Bill'!U31</f>
        <v>0</v>
      </c>
      <c r="J33" s="225">
        <f>'Portage Bill'!V31</f>
        <v>0</v>
      </c>
      <c r="K33" s="225">
        <f>'Portage Bill'!W31</f>
        <v>0</v>
      </c>
      <c r="L33" s="225">
        <f>'Portage Bill'!X31</f>
        <v>0</v>
      </c>
      <c r="M33" s="225">
        <f>'Portage Bill'!Y31</f>
        <v>0</v>
      </c>
      <c r="N33" s="225">
        <f>'Portage Bill'!Z31</f>
        <v>0</v>
      </c>
      <c r="O33" s="225">
        <f>E33-N33</f>
        <v>0</v>
      </c>
      <c r="P33" s="226">
        <f>'Portage Bill'!AB31</f>
        <v>0</v>
      </c>
      <c r="Q33" s="229"/>
      <c r="R33" s="256">
        <f>SUM(O33:Q33)</f>
        <v>0</v>
      </c>
      <c r="S33" s="227"/>
      <c r="T33" s="1"/>
      <c r="U33" s="285">
        <v>0</v>
      </c>
      <c r="V33" s="320">
        <v>0</v>
      </c>
      <c r="W33" s="285">
        <f t="shared" si="2"/>
        <v>0</v>
      </c>
    </row>
    <row r="34" spans="1:23" ht="15" customHeight="1" x14ac:dyDescent="0.4">
      <c r="A34" s="73"/>
      <c r="B34" s="74"/>
      <c r="C34" s="223">
        <f>'Portage Bill'!B32</f>
        <v>0</v>
      </c>
      <c r="D34" s="224">
        <f>'Portage Bill'!D32</f>
        <v>0</v>
      </c>
      <c r="E34" s="254">
        <f>'Portage Bill'!Q32</f>
        <v>0</v>
      </c>
      <c r="F34" s="225">
        <f>'Portage Bill'!R32</f>
        <v>0</v>
      </c>
      <c r="G34" s="225">
        <f>'Portage Bill'!S32</f>
        <v>0</v>
      </c>
      <c r="H34" s="225">
        <f>'Portage Bill'!T32</f>
        <v>0</v>
      </c>
      <c r="I34" s="225">
        <f>'Portage Bill'!U32</f>
        <v>0</v>
      </c>
      <c r="J34" s="225">
        <f>'Portage Bill'!V32</f>
        <v>0</v>
      </c>
      <c r="K34" s="225">
        <f>'Portage Bill'!W32</f>
        <v>0</v>
      </c>
      <c r="L34" s="225">
        <f>'Portage Bill'!X32</f>
        <v>0</v>
      </c>
      <c r="M34" s="225">
        <f>'Portage Bill'!Y32</f>
        <v>0</v>
      </c>
      <c r="N34" s="225">
        <f>'Portage Bill'!Z32</f>
        <v>0</v>
      </c>
      <c r="O34" s="225">
        <f>E34-N34</f>
        <v>0</v>
      </c>
      <c r="P34" s="226">
        <f>'Portage Bill'!AB32</f>
        <v>0</v>
      </c>
      <c r="Q34" s="229"/>
      <c r="R34" s="256">
        <f>SUM(O34:Q34)</f>
        <v>0</v>
      </c>
      <c r="S34" s="227"/>
      <c r="T34" s="1"/>
      <c r="U34" s="285">
        <v>0</v>
      </c>
      <c r="V34" s="320">
        <v>0</v>
      </c>
      <c r="W34" s="285">
        <f t="shared" si="2"/>
        <v>0</v>
      </c>
    </row>
    <row r="35" spans="1:23" ht="15" customHeight="1" x14ac:dyDescent="0.4">
      <c r="A35" s="73"/>
      <c r="B35" s="74"/>
      <c r="C35" s="223">
        <f>'Portage Bill'!B33</f>
        <v>0</v>
      </c>
      <c r="D35" s="224">
        <f>'Portage Bill'!D33</f>
        <v>0</v>
      </c>
      <c r="E35" s="254">
        <f>'Portage Bill'!Q33</f>
        <v>0</v>
      </c>
      <c r="F35" s="225">
        <f>'Portage Bill'!R33</f>
        <v>0</v>
      </c>
      <c r="G35" s="225">
        <f>'Portage Bill'!S33</f>
        <v>0</v>
      </c>
      <c r="H35" s="225">
        <f>'Portage Bill'!T33</f>
        <v>0</v>
      </c>
      <c r="I35" s="225">
        <f>'Portage Bill'!U33</f>
        <v>0</v>
      </c>
      <c r="J35" s="225">
        <f>'Portage Bill'!V33</f>
        <v>0</v>
      </c>
      <c r="K35" s="225">
        <f>'Portage Bill'!W33</f>
        <v>0</v>
      </c>
      <c r="L35" s="225">
        <f>'Portage Bill'!X33</f>
        <v>0</v>
      </c>
      <c r="M35" s="225">
        <f>'Portage Bill'!Y33</f>
        <v>0</v>
      </c>
      <c r="N35" s="225">
        <f>'Portage Bill'!Z33</f>
        <v>0</v>
      </c>
      <c r="O35" s="225">
        <f>E35-N35</f>
        <v>0</v>
      </c>
      <c r="P35" s="226">
        <f>'Portage Bill'!AB33</f>
        <v>0</v>
      </c>
      <c r="Q35" s="229"/>
      <c r="R35" s="256">
        <f>SUM(O35:Q35)</f>
        <v>0</v>
      </c>
      <c r="S35" s="227"/>
      <c r="T35" s="1"/>
      <c r="U35" s="285">
        <f>'Portage Bill'!AC33</f>
        <v>0</v>
      </c>
      <c r="V35" s="320">
        <v>0</v>
      </c>
      <c r="W35" s="285">
        <f t="shared" si="2"/>
        <v>0</v>
      </c>
    </row>
    <row r="36" spans="1:23" ht="15" customHeight="1" x14ac:dyDescent="0.4">
      <c r="A36" s="61"/>
      <c r="B36" s="61"/>
      <c r="C36" s="230" t="s">
        <v>78</v>
      </c>
      <c r="D36" s="230"/>
      <c r="E36" s="226">
        <f t="shared" ref="E36:P36" si="5">SUM(E10:E35)</f>
        <v>0</v>
      </c>
      <c r="F36" s="110">
        <f t="shared" si="5"/>
        <v>0</v>
      </c>
      <c r="G36" s="110">
        <f t="shared" si="5"/>
        <v>0</v>
      </c>
      <c r="H36" s="110">
        <f t="shared" si="5"/>
        <v>0</v>
      </c>
      <c r="I36" s="110">
        <f t="shared" si="5"/>
        <v>0</v>
      </c>
      <c r="J36" s="110">
        <f t="shared" si="5"/>
        <v>0</v>
      </c>
      <c r="K36" s="110">
        <f t="shared" si="5"/>
        <v>0</v>
      </c>
      <c r="L36" s="110">
        <f t="shared" si="5"/>
        <v>0</v>
      </c>
      <c r="M36" s="110">
        <f t="shared" si="5"/>
        <v>0</v>
      </c>
      <c r="N36" s="226">
        <f t="shared" si="5"/>
        <v>0</v>
      </c>
      <c r="O36" s="110">
        <f t="shared" si="5"/>
        <v>0</v>
      </c>
      <c r="P36" s="110">
        <f t="shared" si="5"/>
        <v>0</v>
      </c>
      <c r="Q36" s="110"/>
      <c r="R36" s="257">
        <f>SUM(R10:R35)</f>
        <v>0</v>
      </c>
      <c r="S36" s="231"/>
      <c r="T36" s="1"/>
      <c r="U36" s="257">
        <f>SUM(U10:U35)</f>
        <v>0</v>
      </c>
      <c r="V36" s="257">
        <f>SUM(V10:V35)</f>
        <v>0</v>
      </c>
      <c r="W36" s="257">
        <f>SUM(W10:W35)</f>
        <v>0</v>
      </c>
    </row>
    <row r="37" spans="1:23" ht="15" customHeight="1" x14ac:dyDescent="0.3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</row>
    <row r="38" spans="1:23" x14ac:dyDescent="0.35">
      <c r="C38" s="143" t="s">
        <v>126</v>
      </c>
      <c r="P38" s="1"/>
    </row>
    <row r="39" spans="1:23" ht="13.9" x14ac:dyDescent="0.4">
      <c r="C39" s="372"/>
      <c r="P39" s="289" t="str">
        <f>'Portage Bill'!D49</f>
        <v>Master                                                              /                              /</v>
      </c>
      <c r="Q39" s="290"/>
      <c r="R39" s="291"/>
      <c r="S39" s="292"/>
      <c r="T39" s="14"/>
      <c r="U39" s="14"/>
      <c r="V39" s="215"/>
    </row>
    <row r="40" spans="1:23" x14ac:dyDescent="0.35">
      <c r="P40" s="14"/>
      <c r="Q40" s="14"/>
      <c r="R40" s="14"/>
      <c r="S40" s="14"/>
      <c r="T40" s="14"/>
      <c r="U40" s="14"/>
      <c r="V40" s="215"/>
    </row>
    <row r="41" spans="1:23" x14ac:dyDescent="0.35">
      <c r="P41" s="14"/>
      <c r="Q41" s="14"/>
      <c r="R41" s="14"/>
      <c r="S41" s="14"/>
      <c r="T41" s="14"/>
      <c r="U41" s="14"/>
      <c r="V41" s="215"/>
    </row>
  </sheetData>
  <sheetProtection formatCells="0" formatColumns="0" formatRows="0" insertRows="0" sort="0" autoFilter="0"/>
  <mergeCells count="1">
    <mergeCell ref="D6:G6"/>
  </mergeCells>
  <phoneticPr fontId="14" type="noConversion"/>
  <printOptions horizontalCentered="1" verticalCentered="1"/>
  <pageMargins left="0.39370078740157483" right="0.19685039370078741" top="0.39370078740157483" bottom="0.39370078740157483" header="0.51181102362204722" footer="0.51181102362204722"/>
  <pageSetup paperSize="9" scale="75" orientation="landscape" horizontalDpi="4294967295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54"/>
  <sheetViews>
    <sheetView view="pageLayout" zoomScaleNormal="100" zoomScaleSheetLayoutView="100" workbookViewId="0">
      <selection activeCell="B2" sqref="B2"/>
    </sheetView>
  </sheetViews>
  <sheetFormatPr defaultRowHeight="12.75" x14ac:dyDescent="0.35"/>
  <cols>
    <col min="1" max="1" width="8.46484375" customWidth="1"/>
    <col min="2" max="2" width="14.46484375" customWidth="1"/>
    <col min="3" max="3" width="12.1328125" customWidth="1"/>
    <col min="4" max="4" width="4.1328125" customWidth="1"/>
    <col min="5" max="5" width="11.33203125" customWidth="1"/>
    <col min="6" max="6" width="2.53125" customWidth="1"/>
    <col min="7" max="7" width="6.1328125" customWidth="1"/>
    <col min="8" max="8" width="7.46484375" customWidth="1"/>
    <col min="9" max="9" width="9.86328125" customWidth="1"/>
    <col min="10" max="10" width="9.53125" customWidth="1"/>
    <col min="11" max="11" width="10.53125" customWidth="1"/>
  </cols>
  <sheetData>
    <row r="1" spans="1:11" ht="13.15" x14ac:dyDescent="0.4">
      <c r="A1" s="147"/>
      <c r="B1" s="147"/>
      <c r="C1" s="147"/>
      <c r="D1" s="147"/>
      <c r="E1" s="147"/>
      <c r="F1" s="147"/>
      <c r="G1" s="147"/>
      <c r="H1" s="147"/>
      <c r="I1" s="148" t="s">
        <v>80</v>
      </c>
      <c r="J1" s="149" t="s">
        <v>82</v>
      </c>
      <c r="K1" s="150" t="s">
        <v>89</v>
      </c>
    </row>
    <row r="2" spans="1:11" ht="13.15" x14ac:dyDescent="0.4">
      <c r="A2" s="147"/>
      <c r="B2" s="147"/>
      <c r="C2" s="147"/>
      <c r="D2" s="147"/>
      <c r="E2" s="147"/>
      <c r="F2" s="147"/>
      <c r="G2" s="147"/>
      <c r="H2" s="147"/>
      <c r="I2" s="148" t="s">
        <v>81</v>
      </c>
      <c r="J2" s="149" t="s">
        <v>82</v>
      </c>
      <c r="K2" s="151" t="s">
        <v>83</v>
      </c>
    </row>
    <row r="3" spans="1:11" ht="19.899999999999999" x14ac:dyDescent="0.5">
      <c r="A3" s="147"/>
      <c r="B3" s="147"/>
      <c r="C3" s="147"/>
      <c r="D3" s="319" t="s">
        <v>32</v>
      </c>
      <c r="E3" s="147"/>
      <c r="F3" s="147"/>
      <c r="G3" s="147"/>
      <c r="H3" s="147"/>
      <c r="I3" s="153"/>
      <c r="J3" s="154"/>
      <c r="K3" s="154"/>
    </row>
    <row r="4" spans="1:11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</row>
    <row r="6" spans="1:11" ht="15" customHeight="1" x14ac:dyDescent="0.4">
      <c r="A6" s="155" t="str">
        <f>'Portage Bill'!B3</f>
        <v xml:space="preserve">Vessel:     </v>
      </c>
      <c r="B6" s="156">
        <f>'Portage Bill'!C3</f>
        <v>0</v>
      </c>
      <c r="C6" s="157"/>
      <c r="D6" s="158"/>
      <c r="E6" s="159"/>
      <c r="F6" s="147"/>
      <c r="G6" s="147"/>
      <c r="H6" s="155" t="s">
        <v>33</v>
      </c>
      <c r="I6" s="155"/>
      <c r="J6" s="160" t="s">
        <v>34</v>
      </c>
      <c r="K6" s="161"/>
    </row>
    <row r="7" spans="1:11" ht="15" customHeight="1" x14ac:dyDescent="0.4">
      <c r="A7" s="147"/>
      <c r="B7" s="147"/>
      <c r="C7" s="147"/>
      <c r="D7" s="147"/>
      <c r="E7" s="147"/>
      <c r="F7" s="147"/>
      <c r="G7" s="147"/>
      <c r="H7" s="155" t="s">
        <v>35</v>
      </c>
      <c r="I7" s="155"/>
      <c r="J7" s="162"/>
      <c r="K7" s="163">
        <f>'Portage Bill'!F59</f>
        <v>0</v>
      </c>
    </row>
    <row r="8" spans="1:11" ht="15" customHeight="1" x14ac:dyDescent="0.4">
      <c r="A8" s="155" t="s">
        <v>36</v>
      </c>
      <c r="B8" s="164">
        <f>'Portage Bill'!B8</f>
        <v>0</v>
      </c>
      <c r="C8" s="165"/>
      <c r="D8" s="165"/>
      <c r="E8" s="147"/>
      <c r="F8" s="147"/>
      <c r="G8" s="147"/>
      <c r="H8" s="155" t="s">
        <v>37</v>
      </c>
      <c r="I8" s="155"/>
      <c r="J8" s="162"/>
      <c r="K8" s="163">
        <f>'Portage Bill'!J59</f>
        <v>0</v>
      </c>
    </row>
    <row r="9" spans="1:11" ht="15" customHeight="1" x14ac:dyDescent="0.4">
      <c r="A9" s="155" t="s">
        <v>38</v>
      </c>
      <c r="B9" s="166" t="str">
        <f>'Portage Bill'!D8</f>
        <v>Master</v>
      </c>
      <c r="C9" s="165"/>
      <c r="D9" s="147"/>
      <c r="E9" s="147"/>
      <c r="F9" s="147"/>
      <c r="G9" s="147"/>
      <c r="H9" s="155" t="s">
        <v>39</v>
      </c>
      <c r="I9" s="155"/>
      <c r="J9" s="155"/>
      <c r="K9" s="147"/>
    </row>
    <row r="10" spans="1:11" ht="15" customHeight="1" x14ac:dyDescent="0.4">
      <c r="A10" s="155" t="s">
        <v>40</v>
      </c>
      <c r="B10" s="167"/>
      <c r="C10" s="168"/>
      <c r="D10" s="147"/>
      <c r="E10" s="147"/>
      <c r="F10" s="147"/>
      <c r="G10" s="155" t="s">
        <v>41</v>
      </c>
      <c r="H10" s="169"/>
      <c r="I10" s="155" t="s">
        <v>42</v>
      </c>
      <c r="J10" s="316"/>
      <c r="K10" s="171"/>
    </row>
    <row r="11" spans="1:11" ht="15" customHeight="1" x14ac:dyDescent="0.4">
      <c r="A11" s="155"/>
      <c r="B11" s="334"/>
      <c r="C11" s="335"/>
      <c r="D11" s="147"/>
      <c r="E11" s="147"/>
      <c r="F11" s="147"/>
      <c r="G11" s="155"/>
      <c r="H11" s="336"/>
      <c r="I11" s="155"/>
      <c r="J11" s="316"/>
      <c r="K11" s="337"/>
    </row>
    <row r="12" spans="1:11" ht="15" customHeight="1" x14ac:dyDescent="0.4">
      <c r="A12" s="344" t="s">
        <v>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</row>
    <row r="13" spans="1:11" ht="15" customHeight="1" x14ac:dyDescent="0.4">
      <c r="A13" s="346" t="s">
        <v>44</v>
      </c>
      <c r="B13" s="338"/>
      <c r="C13" s="175">
        <f>'Portage Bill'!G2</f>
        <v>41365</v>
      </c>
      <c r="D13" s="347" t="s">
        <v>45</v>
      </c>
      <c r="E13" s="175">
        <f>'Portage Bill'!K2</f>
        <v>41394</v>
      </c>
      <c r="F13" s="348" t="s">
        <v>46</v>
      </c>
      <c r="G13" s="177" t="s">
        <v>114</v>
      </c>
      <c r="H13" s="347" t="s">
        <v>47</v>
      </c>
      <c r="I13" s="207">
        <f>'Portage Bill'!F8</f>
        <v>0</v>
      </c>
      <c r="J13" s="347" t="s">
        <v>43</v>
      </c>
      <c r="K13" s="163">
        <f>'Portage Bill'!G8</f>
        <v>0</v>
      </c>
    </row>
    <row r="14" spans="1:11" ht="15" customHeight="1" x14ac:dyDescent="0.4">
      <c r="A14" s="349" t="s">
        <v>140</v>
      </c>
      <c r="B14" s="350"/>
      <c r="C14" s="43"/>
      <c r="D14" s="43"/>
      <c r="E14" s="43"/>
      <c r="F14" s="351"/>
      <c r="G14" s="8"/>
      <c r="H14" s="43"/>
      <c r="I14" s="352"/>
      <c r="J14" s="353"/>
      <c r="K14" s="49">
        <f>'Portage Bill'!I8</f>
        <v>0</v>
      </c>
    </row>
    <row r="15" spans="1:11" ht="15" customHeight="1" x14ac:dyDescent="0.4">
      <c r="A15" s="349" t="s">
        <v>48</v>
      </c>
      <c r="B15" s="83"/>
      <c r="C15" s="43"/>
      <c r="D15" s="43"/>
      <c r="E15" s="43"/>
      <c r="F15" s="43"/>
      <c r="G15" s="43"/>
      <c r="H15" s="43"/>
      <c r="I15" s="43"/>
      <c r="J15" s="8"/>
      <c r="K15" s="49">
        <f>'Portage Bill'!N8</f>
        <v>0</v>
      </c>
    </row>
    <row r="16" spans="1:11" ht="15" customHeight="1" x14ac:dyDescent="0.4">
      <c r="A16" s="349" t="s">
        <v>49</v>
      </c>
      <c r="B16" s="84"/>
      <c r="C16" s="46" t="s">
        <v>18</v>
      </c>
      <c r="D16" s="43"/>
      <c r="E16" s="43"/>
      <c r="F16" s="43"/>
      <c r="G16" s="43"/>
      <c r="H16" s="43"/>
      <c r="I16" s="43"/>
      <c r="J16" s="8"/>
      <c r="K16" s="49">
        <f>'Portage Bill'!O8</f>
        <v>0</v>
      </c>
    </row>
    <row r="17" spans="1:13" ht="15" customHeight="1" x14ac:dyDescent="0.4">
      <c r="A17" s="349" t="s">
        <v>50</v>
      </c>
      <c r="B17" s="81"/>
      <c r="C17" s="274" t="str">
        <f>'Portage Bill'!L5</f>
        <v>Travelling</v>
      </c>
      <c r="D17" s="43"/>
      <c r="E17" s="43"/>
      <c r="F17" s="43"/>
      <c r="G17" s="43"/>
      <c r="H17" s="43"/>
      <c r="I17" s="43"/>
      <c r="J17" s="8"/>
      <c r="K17" s="49">
        <f>'Portage Bill'!L8</f>
        <v>0</v>
      </c>
    </row>
    <row r="18" spans="1:13" ht="15" customHeight="1" x14ac:dyDescent="0.4">
      <c r="A18" s="351" t="s">
        <v>50</v>
      </c>
      <c r="B18" s="43"/>
      <c r="C18" s="81" t="str">
        <f>'Portage Bill'!J6</f>
        <v>FIDELITY</v>
      </c>
      <c r="D18" s="43"/>
      <c r="E18" s="43"/>
      <c r="F18" s="43"/>
      <c r="G18" s="43"/>
      <c r="H18" s="43"/>
      <c r="I18" s="43"/>
      <c r="J18" s="8"/>
      <c r="K18" s="49">
        <f>'Portage Bill'!J8</f>
        <v>0</v>
      </c>
    </row>
    <row r="19" spans="1:13" ht="15" customHeight="1" x14ac:dyDescent="0.4">
      <c r="A19" s="351" t="s">
        <v>50</v>
      </c>
      <c r="B19" s="43"/>
      <c r="C19" s="82" t="str">
        <f>'Portage Bill'!K5</f>
        <v>ALLOWANCE</v>
      </c>
      <c r="D19" s="43"/>
      <c r="E19" s="43"/>
      <c r="F19" s="43"/>
      <c r="G19" s="43"/>
      <c r="H19" s="43"/>
      <c r="I19" s="43"/>
      <c r="J19" s="8"/>
      <c r="K19" s="50">
        <f>'Portage Bill'!K8</f>
        <v>0</v>
      </c>
    </row>
    <row r="20" spans="1:13" ht="15" customHeight="1" x14ac:dyDescent="0.45">
      <c r="A20" s="354" t="s">
        <v>50</v>
      </c>
      <c r="B20" s="44"/>
      <c r="C20" s="280" t="str">
        <f>'Portage Bill'!P6</f>
        <v>Bonus &amp; Extras</v>
      </c>
      <c r="D20" s="69"/>
      <c r="E20" s="67"/>
      <c r="F20" s="44"/>
      <c r="G20" s="44"/>
      <c r="H20" s="44"/>
      <c r="I20" s="44"/>
      <c r="J20" s="44"/>
      <c r="K20" s="355">
        <f>'Portage Bill'!P8</f>
        <v>0</v>
      </c>
    </row>
    <row r="21" spans="1:13" ht="15" customHeight="1" x14ac:dyDescent="0.4">
      <c r="A21" s="42"/>
      <c r="B21" s="42"/>
      <c r="C21" s="42"/>
      <c r="D21" s="42"/>
      <c r="E21" s="42"/>
      <c r="F21" s="42"/>
      <c r="H21" s="51" t="s">
        <v>51</v>
      </c>
      <c r="I21" s="42"/>
      <c r="J21" s="42"/>
      <c r="K21" s="52">
        <f>SUM(K12:K20)</f>
        <v>0</v>
      </c>
    </row>
    <row r="22" spans="1:13" ht="15" customHeight="1" x14ac:dyDescent="0.4">
      <c r="A22" s="42"/>
      <c r="B22" s="42"/>
      <c r="C22" s="42"/>
      <c r="D22" s="42"/>
      <c r="E22" s="42"/>
      <c r="F22" s="42"/>
      <c r="H22" s="51"/>
      <c r="I22" s="42"/>
      <c r="J22" s="42"/>
      <c r="K22" s="52"/>
    </row>
    <row r="23" spans="1:13" ht="15" customHeight="1" x14ac:dyDescent="0.4">
      <c r="A23" s="339" t="s">
        <v>135</v>
      </c>
      <c r="B23" s="340"/>
      <c r="C23" s="340"/>
      <c r="D23" s="340"/>
      <c r="E23" s="340"/>
      <c r="F23" s="340"/>
      <c r="G23" s="341"/>
      <c r="H23" s="342"/>
      <c r="I23" s="340"/>
      <c r="J23" s="340"/>
      <c r="K23" s="356">
        <f>'Portage Bill'!AB8</f>
        <v>0</v>
      </c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339" t="s">
        <v>138</v>
      </c>
      <c r="B25" s="340"/>
      <c r="C25" s="340"/>
      <c r="D25" s="340"/>
      <c r="E25" s="340"/>
      <c r="F25" s="340"/>
      <c r="G25" s="341"/>
      <c r="H25" s="342"/>
      <c r="I25" s="340"/>
      <c r="J25" s="340"/>
      <c r="K25" s="356">
        <f>'Portage Bill'!AC8</f>
        <v>0</v>
      </c>
    </row>
    <row r="26" spans="1:13" ht="15" customHeight="1" x14ac:dyDescent="0.4">
      <c r="A26" s="363"/>
      <c r="B26" s="8"/>
      <c r="C26" s="8"/>
      <c r="D26" s="8"/>
      <c r="E26" s="8"/>
      <c r="F26" s="8"/>
      <c r="G26" s="1"/>
      <c r="H26" s="364"/>
      <c r="I26" s="8"/>
      <c r="J26" s="8"/>
      <c r="K26" s="365"/>
    </row>
    <row r="27" spans="1:13" ht="15" customHeight="1" x14ac:dyDescent="0.4">
      <c r="A27" s="339"/>
      <c r="B27" s="340"/>
      <c r="C27" s="340"/>
      <c r="D27" s="340"/>
      <c r="E27" s="340"/>
      <c r="F27" s="340"/>
      <c r="G27" s="342" t="s">
        <v>139</v>
      </c>
      <c r="H27" s="342"/>
      <c r="I27" s="340"/>
      <c r="J27" s="340"/>
      <c r="K27" s="356">
        <f>SUM(K21:K26)</f>
        <v>0</v>
      </c>
    </row>
    <row r="28" spans="1:13" ht="15" customHeight="1" x14ac:dyDescent="0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</row>
    <row r="29" spans="1:13" ht="15" customHeight="1" x14ac:dyDescent="0.4">
      <c r="A29" s="357" t="s">
        <v>52</v>
      </c>
      <c r="B29" s="358"/>
      <c r="C29" s="358"/>
      <c r="D29" s="42"/>
      <c r="E29" s="42"/>
      <c r="F29" s="42"/>
      <c r="G29" s="42"/>
      <c r="H29" s="42"/>
      <c r="I29" s="42"/>
      <c r="J29" s="42"/>
      <c r="K29" s="42"/>
    </row>
    <row r="30" spans="1:13" ht="15" customHeight="1" x14ac:dyDescent="0.4">
      <c r="A30" s="88" t="str">
        <f>'Portage Bill'!X7</f>
        <v>Telecon</v>
      </c>
      <c r="B30" s="8"/>
      <c r="C30" s="62">
        <f>'Portage Bill'!X8</f>
        <v>0</v>
      </c>
      <c r="D30" s="42"/>
      <c r="E30" s="42"/>
      <c r="F30" s="42"/>
      <c r="G30" s="42"/>
      <c r="H30" s="42"/>
      <c r="I30" s="42"/>
      <c r="J30" s="42"/>
      <c r="K30" s="62"/>
      <c r="M30" s="42"/>
    </row>
    <row r="31" spans="1:13" ht="15" customHeight="1" x14ac:dyDescent="0.4">
      <c r="A31" s="351" t="s">
        <v>53</v>
      </c>
      <c r="B31" s="8"/>
      <c r="C31" s="62">
        <f>'Portage Bill'!W8</f>
        <v>0</v>
      </c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351" t="s">
        <v>54</v>
      </c>
      <c r="B32" s="8"/>
      <c r="C32" s="62">
        <f>'Portage Bill'!U8</f>
        <v>0</v>
      </c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351" t="s">
        <v>54</v>
      </c>
      <c r="B33" s="8"/>
      <c r="C33" s="62">
        <f>'Portage Bill'!V8</f>
        <v>0</v>
      </c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351" t="s">
        <v>98</v>
      </c>
      <c r="B34" s="8"/>
      <c r="C34" s="62">
        <f>'Portage Bill'!T8</f>
        <v>0</v>
      </c>
      <c r="D34" s="42"/>
      <c r="E34" s="42"/>
      <c r="F34" s="42"/>
      <c r="G34" s="42"/>
      <c r="H34" s="42"/>
      <c r="I34" s="42"/>
      <c r="J34" s="42"/>
      <c r="K34" s="42"/>
      <c r="M34" s="42"/>
    </row>
    <row r="35" spans="1:13" ht="15" customHeight="1" x14ac:dyDescent="0.4">
      <c r="A35" s="351" t="s">
        <v>92</v>
      </c>
      <c r="B35" s="8"/>
      <c r="C35" s="62">
        <f>'Portage Bill'!Y8</f>
        <v>0</v>
      </c>
      <c r="D35" s="42"/>
      <c r="E35" s="42"/>
      <c r="F35" s="42"/>
      <c r="G35" s="42"/>
      <c r="H35" s="42"/>
      <c r="I35" s="42"/>
      <c r="J35" s="42"/>
      <c r="K35" s="42"/>
      <c r="M35" s="42"/>
    </row>
    <row r="36" spans="1:13" ht="15" customHeight="1" x14ac:dyDescent="0.4">
      <c r="A36" s="351" t="str">
        <f>'Portage Bill'!R7</f>
        <v>***Leave pay</v>
      </c>
      <c r="B36" s="8"/>
      <c r="C36" s="343">
        <f>'Portage Bill'!R8</f>
        <v>0</v>
      </c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351" t="s">
        <v>55</v>
      </c>
      <c r="B37" s="8"/>
      <c r="C37" s="43"/>
      <c r="D37" s="42"/>
      <c r="E37" s="42"/>
      <c r="F37" s="42"/>
      <c r="G37" s="42"/>
      <c r="H37" s="42"/>
      <c r="I37" s="42"/>
      <c r="J37" s="42"/>
      <c r="K37" s="42"/>
    </row>
    <row r="38" spans="1:13" ht="15" customHeight="1" x14ac:dyDescent="0.4">
      <c r="A38" s="359" t="str">
        <f>'deduct list'!W9</f>
        <v>Accumulated Leave pay</v>
      </c>
      <c r="B38" s="44"/>
      <c r="C38" s="44"/>
      <c r="D38" s="42"/>
      <c r="E38" s="294">
        <f>'deduct list'!W10</f>
        <v>0</v>
      </c>
      <c r="F38" s="42"/>
      <c r="G38" s="42"/>
      <c r="H38" s="45"/>
      <c r="I38" s="42"/>
      <c r="J38" s="42"/>
      <c r="K38" s="50"/>
    </row>
    <row r="39" spans="1:13" ht="15" customHeight="1" x14ac:dyDescent="0.4">
      <c r="A39" s="369" t="s">
        <v>56</v>
      </c>
      <c r="B39" s="18"/>
      <c r="C39" s="371">
        <f>SUM(C30:C38)</f>
        <v>0</v>
      </c>
      <c r="D39" s="147"/>
      <c r="E39" s="147"/>
      <c r="F39" s="147"/>
      <c r="G39" s="179"/>
      <c r="H39" s="179"/>
      <c r="I39" s="179"/>
      <c r="J39" s="179"/>
      <c r="K39" s="360"/>
    </row>
    <row r="40" spans="1:13" ht="15" customHeight="1" x14ac:dyDescent="0.45">
      <c r="A40" s="48"/>
      <c r="B40" s="42"/>
      <c r="C40" s="62"/>
      <c r="D40" s="147"/>
      <c r="E40" s="147"/>
      <c r="F40" s="147"/>
      <c r="G40" s="147"/>
      <c r="H40" s="367" t="s">
        <v>136</v>
      </c>
      <c r="I40" s="75"/>
      <c r="J40" s="75"/>
      <c r="K40" s="370">
        <f>'Portage Bill'!S8</f>
        <v>0</v>
      </c>
    </row>
    <row r="41" spans="1:13" ht="15" customHeight="1" x14ac:dyDescent="0.45">
      <c r="A41" s="48"/>
      <c r="B41" s="42"/>
      <c r="C41" s="368"/>
      <c r="D41" s="147"/>
      <c r="E41" s="147"/>
      <c r="F41" s="147"/>
      <c r="G41" s="147"/>
      <c r="H41" s="367"/>
      <c r="I41" s="75"/>
      <c r="J41" s="75"/>
      <c r="K41" s="361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366" t="s">
        <v>137</v>
      </c>
      <c r="I42" s="362"/>
      <c r="J42" s="75"/>
      <c r="K42" s="366">
        <f>'Portage Bill'!AD8</f>
        <v>0</v>
      </c>
    </row>
    <row r="43" spans="1:13" ht="22.5" customHeight="1" x14ac:dyDescent="0.4">
      <c r="A43" s="155" t="s">
        <v>57</v>
      </c>
      <c r="B43" s="147"/>
      <c r="C43" s="165"/>
      <c r="D43" s="165"/>
      <c r="E43" s="208"/>
      <c r="F43" s="179" t="s">
        <v>58</v>
      </c>
      <c r="G43" s="154"/>
      <c r="H43" s="208"/>
      <c r="I43" s="165"/>
      <c r="J43" s="165"/>
      <c r="K43" s="165"/>
    </row>
    <row r="44" spans="1:13" ht="15" customHeight="1" x14ac:dyDescent="0.4">
      <c r="A44" s="155" t="s">
        <v>59</v>
      </c>
      <c r="B44" s="14"/>
      <c r="C44" s="209"/>
      <c r="D44" s="209"/>
      <c r="E44" s="209"/>
      <c r="F44" s="209"/>
      <c r="G44" s="209"/>
      <c r="H44" s="209"/>
      <c r="I44" s="209"/>
      <c r="J44" s="209"/>
      <c r="K44" s="209"/>
    </row>
    <row r="45" spans="1:13" ht="15" customHeight="1" x14ac:dyDescent="0.4">
      <c r="A45" s="155" t="s">
        <v>60</v>
      </c>
      <c r="B45" s="14"/>
      <c r="C45" s="14"/>
      <c r="D45" s="14"/>
      <c r="E45" s="210"/>
      <c r="F45" s="209"/>
      <c r="G45" s="209"/>
      <c r="H45" s="209"/>
      <c r="I45" s="209"/>
      <c r="J45" s="209"/>
      <c r="K45" s="209"/>
    </row>
    <row r="46" spans="1:13" ht="15" customHeight="1" x14ac:dyDescent="0.4">
      <c r="A46" s="155" t="s">
        <v>61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3" ht="21" customHeight="1" x14ac:dyDescent="0.4">
      <c r="A47" s="211" t="s">
        <v>106</v>
      </c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 t="s">
        <v>62</v>
      </c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1" ht="15" customHeight="1" x14ac:dyDescent="0.4">
      <c r="A49" s="147"/>
      <c r="B49" s="14"/>
      <c r="C49" s="14"/>
      <c r="D49" s="14"/>
      <c r="E49" s="179" t="s">
        <v>30</v>
      </c>
      <c r="F49" s="214"/>
      <c r="G49" s="233">
        <f>'Portage Bill'!K2</f>
        <v>41394</v>
      </c>
      <c r="H49" s="14"/>
      <c r="I49" s="14"/>
      <c r="J49" s="14"/>
      <c r="K49" s="14"/>
    </row>
    <row r="50" spans="1:11" ht="11.25" customHeight="1" x14ac:dyDescent="0.4">
      <c r="A50" s="43"/>
      <c r="B50" s="53"/>
      <c r="C50" s="53"/>
      <c r="D50" s="53"/>
      <c r="G50" s="1"/>
      <c r="H50" s="53"/>
      <c r="I50" s="53"/>
      <c r="J50" s="53"/>
      <c r="K50" s="53"/>
    </row>
    <row r="51" spans="1:11" ht="15" customHeight="1" x14ac:dyDescent="0.35">
      <c r="A51" s="58" t="s">
        <v>63</v>
      </c>
      <c r="B51" s="56"/>
      <c r="C51" s="56"/>
      <c r="D51" s="56"/>
      <c r="H51" s="59" t="s">
        <v>64</v>
      </c>
      <c r="I51" s="57"/>
      <c r="J51" s="57"/>
      <c r="K51" s="57"/>
    </row>
    <row r="52" spans="1:11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1" ht="17.100000000000001" customHeight="1" x14ac:dyDescent="0.35">
      <c r="J53" s="55" t="s">
        <v>65</v>
      </c>
    </row>
    <row r="54" spans="1:11" ht="17.100000000000001" customHeight="1" x14ac:dyDescent="0.35"/>
  </sheetData>
  <sheetProtection formatCells="0" formatColumns="0" formatRows="0"/>
  <phoneticPr fontId="14" type="noConversion"/>
  <pageMargins left="0.78740157480314998" right="0.39370078740157499" top="0.39370078740157499" bottom="0.39370078740157499" header="0.511811023622047" footer="0.511811023622047"/>
  <pageSetup paperSize="9" scale="95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54"/>
  <sheetViews>
    <sheetView view="pageLayout" zoomScaleNormal="100" workbookViewId="0">
      <selection activeCell="A2" sqref="A2"/>
    </sheetView>
  </sheetViews>
  <sheetFormatPr defaultRowHeight="12.75" x14ac:dyDescent="0.35"/>
  <cols>
    <col min="2" max="2" width="11.53125" customWidth="1"/>
    <col min="3" max="3" width="12.1328125" customWidth="1"/>
    <col min="4" max="4" width="4.1328125" customWidth="1"/>
    <col min="5" max="5" width="11.33203125" customWidth="1"/>
    <col min="6" max="6" width="3.33203125" customWidth="1"/>
    <col min="7" max="7" width="10.86328125" customWidth="1"/>
    <col min="8" max="8" width="7.46484375" customWidth="1"/>
    <col min="10" max="10" width="5.6640625" customWidth="1"/>
    <col min="11" max="11" width="11.53125" bestFit="1" customWidth="1"/>
  </cols>
  <sheetData>
    <row r="1" spans="1:11" ht="13.15" x14ac:dyDescent="0.4">
      <c r="A1" s="147"/>
      <c r="B1" s="147"/>
      <c r="C1" s="147"/>
      <c r="D1" s="147"/>
      <c r="E1" s="147"/>
      <c r="F1" s="147"/>
      <c r="G1" s="147"/>
      <c r="H1" s="147"/>
      <c r="I1" s="148" t="s">
        <v>80</v>
      </c>
      <c r="J1" s="149" t="s">
        <v>82</v>
      </c>
      <c r="K1" s="150" t="s">
        <v>89</v>
      </c>
    </row>
    <row r="2" spans="1:11" ht="13.15" x14ac:dyDescent="0.4">
      <c r="A2" s="147"/>
      <c r="B2" s="147"/>
      <c r="C2" s="147"/>
      <c r="D2" s="147"/>
      <c r="E2" s="147"/>
      <c r="F2" s="147"/>
      <c r="G2" s="147"/>
      <c r="H2" s="147"/>
      <c r="I2" s="148" t="s">
        <v>81</v>
      </c>
      <c r="J2" s="149" t="s">
        <v>82</v>
      </c>
      <c r="K2" s="151" t="s">
        <v>83</v>
      </c>
    </row>
    <row r="3" spans="1:11" ht="19.899999999999999" x14ac:dyDescent="0.5">
      <c r="A3" s="147"/>
      <c r="B3" s="147"/>
      <c r="C3" s="147"/>
      <c r="D3" s="319" t="s">
        <v>32</v>
      </c>
      <c r="E3" s="147"/>
      <c r="F3" s="147"/>
      <c r="G3" s="147"/>
      <c r="H3" s="147"/>
      <c r="I3" s="153"/>
      <c r="J3" s="154"/>
      <c r="K3" s="154"/>
    </row>
    <row r="4" spans="1:11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</row>
    <row r="6" spans="1:11" ht="15" x14ac:dyDescent="0.4">
      <c r="A6" s="155" t="str">
        <f>'Portage Bill'!B3</f>
        <v xml:space="preserve">Vessel:     </v>
      </c>
      <c r="B6" s="156">
        <f>'Portage Bill'!C3</f>
        <v>0</v>
      </c>
      <c r="C6" s="157"/>
      <c r="D6" s="158"/>
      <c r="E6" s="159"/>
      <c r="F6" s="147"/>
      <c r="G6" s="147"/>
      <c r="H6" s="155" t="s">
        <v>33</v>
      </c>
      <c r="I6" s="155"/>
      <c r="J6" s="160" t="s">
        <v>34</v>
      </c>
      <c r="K6" s="161"/>
    </row>
    <row r="7" spans="1:11" ht="15" customHeight="1" x14ac:dyDescent="0.4">
      <c r="A7" s="147"/>
      <c r="B7" s="147"/>
      <c r="C7" s="147"/>
      <c r="D7" s="147"/>
      <c r="E7" s="147"/>
      <c r="F7" s="147"/>
      <c r="G7" s="147"/>
      <c r="H7" s="155" t="s">
        <v>35</v>
      </c>
      <c r="I7" s="155"/>
      <c r="J7" s="162"/>
      <c r="K7" s="163">
        <f>'Portage Bill'!F60</f>
        <v>0</v>
      </c>
    </row>
    <row r="8" spans="1:11" ht="15" customHeight="1" x14ac:dyDescent="0.4">
      <c r="A8" s="155" t="s">
        <v>36</v>
      </c>
      <c r="B8" s="164">
        <f>'Portage Bill'!B9</f>
        <v>0</v>
      </c>
      <c r="C8" s="165"/>
      <c r="D8" s="165"/>
      <c r="E8" s="147"/>
      <c r="F8" s="147"/>
      <c r="G8" s="147"/>
      <c r="H8" s="155" t="s">
        <v>37</v>
      </c>
      <c r="I8" s="155"/>
      <c r="J8" s="162"/>
      <c r="K8" s="163">
        <f>'Portage Bill'!J60</f>
        <v>0</v>
      </c>
    </row>
    <row r="9" spans="1:11" ht="15" customHeight="1" x14ac:dyDescent="0.4">
      <c r="A9" s="155" t="s">
        <v>38</v>
      </c>
      <c r="B9" s="166" t="str">
        <f>'Portage Bill'!D9</f>
        <v>Chief officer</v>
      </c>
      <c r="C9" s="165"/>
      <c r="D9" s="147"/>
      <c r="E9" s="147"/>
      <c r="F9" s="147"/>
      <c r="G9" s="147"/>
      <c r="H9" s="155" t="s">
        <v>39</v>
      </c>
      <c r="I9" s="155"/>
      <c r="J9" s="155"/>
      <c r="K9" s="147"/>
    </row>
    <row r="10" spans="1:11" ht="15" customHeight="1" x14ac:dyDescent="0.4">
      <c r="A10" s="155" t="s">
        <v>40</v>
      </c>
      <c r="B10" s="167"/>
      <c r="C10" s="168"/>
      <c r="D10" s="147"/>
      <c r="E10" s="147"/>
      <c r="F10" s="147"/>
      <c r="G10" s="155" t="s">
        <v>41</v>
      </c>
      <c r="H10" s="169"/>
      <c r="I10" s="155" t="s">
        <v>42</v>
      </c>
      <c r="J10" s="316"/>
      <c r="K10" s="171"/>
    </row>
    <row r="11" spans="1:11" ht="15" customHeight="1" x14ac:dyDescent="0.4">
      <c r="A11" s="155"/>
      <c r="B11" s="334"/>
      <c r="C11" s="335"/>
      <c r="D11" s="147"/>
      <c r="E11" s="147"/>
      <c r="F11" s="147"/>
      <c r="G11" s="155"/>
      <c r="H11" s="336"/>
      <c r="I11" s="155"/>
      <c r="J11" s="316"/>
      <c r="K11" s="337"/>
    </row>
    <row r="12" spans="1:11" ht="15" customHeight="1" x14ac:dyDescent="0.4">
      <c r="A12" s="344" t="s">
        <v>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</row>
    <row r="13" spans="1:11" ht="15" customHeight="1" x14ac:dyDescent="0.4">
      <c r="A13" s="346" t="s">
        <v>44</v>
      </c>
      <c r="B13" s="338"/>
      <c r="C13" s="175">
        <f>'Portage Bill'!G2</f>
        <v>41365</v>
      </c>
      <c r="D13" s="347" t="s">
        <v>45</v>
      </c>
      <c r="E13" s="175">
        <f>'Portage Bill'!K2</f>
        <v>41394</v>
      </c>
      <c r="F13" s="348" t="s">
        <v>46</v>
      </c>
      <c r="G13" s="177" t="s">
        <v>114</v>
      </c>
      <c r="H13" s="347" t="s">
        <v>47</v>
      </c>
      <c r="I13" s="178">
        <f>'Portage Bill'!F9</f>
        <v>0</v>
      </c>
      <c r="J13" s="347" t="s">
        <v>43</v>
      </c>
      <c r="K13" s="163">
        <f>'Portage Bill'!G9</f>
        <v>0</v>
      </c>
    </row>
    <row r="14" spans="1:11" ht="15" customHeight="1" x14ac:dyDescent="0.4">
      <c r="A14" s="349" t="s">
        <v>140</v>
      </c>
      <c r="B14" s="350"/>
      <c r="C14" s="43"/>
      <c r="D14" s="43"/>
      <c r="E14" s="43"/>
      <c r="F14" s="351"/>
      <c r="G14" s="8"/>
      <c r="H14" s="43"/>
      <c r="I14" s="352"/>
      <c r="J14" s="353"/>
      <c r="K14" s="49">
        <f>'Portage Bill'!I9</f>
        <v>0</v>
      </c>
    </row>
    <row r="15" spans="1:11" ht="15" customHeight="1" x14ac:dyDescent="0.4">
      <c r="A15" s="349" t="s">
        <v>48</v>
      </c>
      <c r="B15" s="83"/>
      <c r="C15" s="43"/>
      <c r="D15" s="43"/>
      <c r="E15" s="43"/>
      <c r="F15" s="43"/>
      <c r="G15" s="43"/>
      <c r="H15" s="43"/>
      <c r="I15" s="43"/>
      <c r="J15" s="8"/>
      <c r="K15" s="49">
        <f>'Portage Bill'!N9</f>
        <v>0</v>
      </c>
    </row>
    <row r="16" spans="1:11" ht="15" customHeight="1" x14ac:dyDescent="0.4">
      <c r="A16" s="349" t="s">
        <v>49</v>
      </c>
      <c r="B16" s="84"/>
      <c r="C16" s="46" t="s">
        <v>18</v>
      </c>
      <c r="D16" s="43"/>
      <c r="E16" s="43"/>
      <c r="F16" s="43"/>
      <c r="G16" s="43"/>
      <c r="H16" s="43"/>
      <c r="I16" s="43"/>
      <c r="J16" s="8"/>
      <c r="K16" s="49">
        <f>'Portage Bill'!O9</f>
        <v>0</v>
      </c>
    </row>
    <row r="17" spans="1:13" ht="15" customHeight="1" x14ac:dyDescent="0.4">
      <c r="A17" s="349" t="s">
        <v>50</v>
      </c>
      <c r="B17" s="81"/>
      <c r="C17" s="274" t="str">
        <f>'Portage Bill'!L5</f>
        <v>Travelling</v>
      </c>
      <c r="D17" s="43"/>
      <c r="E17" s="43"/>
      <c r="F17" s="43"/>
      <c r="G17" s="43"/>
      <c r="H17" s="43"/>
      <c r="I17" s="43"/>
      <c r="J17" s="8"/>
      <c r="K17" s="49">
        <f>'Portage Bill'!L9</f>
        <v>0</v>
      </c>
    </row>
    <row r="18" spans="1:13" ht="15" customHeight="1" x14ac:dyDescent="0.4">
      <c r="A18" s="351" t="s">
        <v>50</v>
      </c>
      <c r="B18" s="43"/>
      <c r="C18" s="81" t="str">
        <f>'Portage Bill'!J6</f>
        <v>FIDELITY</v>
      </c>
      <c r="D18" s="43"/>
      <c r="E18" s="43"/>
      <c r="F18" s="43"/>
      <c r="G18" s="43"/>
      <c r="H18" s="43"/>
      <c r="I18" s="43"/>
      <c r="J18" s="8"/>
      <c r="K18" s="49">
        <f>'Portage Bill'!J9</f>
        <v>0</v>
      </c>
    </row>
    <row r="19" spans="1:13" ht="15" customHeight="1" x14ac:dyDescent="0.4">
      <c r="A19" s="351" t="s">
        <v>50</v>
      </c>
      <c r="B19" s="43"/>
      <c r="C19" s="82" t="str">
        <f>'Portage Bill'!K5</f>
        <v>ALLOWANCE</v>
      </c>
      <c r="D19" s="43"/>
      <c r="E19" s="43"/>
      <c r="F19" s="43"/>
      <c r="G19" s="43"/>
      <c r="H19" s="43"/>
      <c r="I19" s="43"/>
      <c r="J19" s="8"/>
      <c r="K19" s="50">
        <f>'Portage Bill'!K9</f>
        <v>0</v>
      </c>
    </row>
    <row r="20" spans="1:13" ht="15" customHeight="1" x14ac:dyDescent="0.45">
      <c r="A20" s="354" t="s">
        <v>50</v>
      </c>
      <c r="B20" s="44"/>
      <c r="C20" s="280" t="str">
        <f>'Portage Bill'!P6</f>
        <v>Bonus &amp; Extras</v>
      </c>
      <c r="D20" s="69"/>
      <c r="E20" s="67"/>
      <c r="F20" s="44"/>
      <c r="G20" s="44"/>
      <c r="H20" s="44"/>
      <c r="I20" s="44"/>
      <c r="J20" s="44"/>
      <c r="K20" s="355">
        <f>'Portage Bill'!P9</f>
        <v>0</v>
      </c>
    </row>
    <row r="21" spans="1:13" ht="15" customHeight="1" x14ac:dyDescent="0.4">
      <c r="A21" s="42"/>
      <c r="B21" s="42"/>
      <c r="C21" s="42"/>
      <c r="D21" s="42"/>
      <c r="E21" s="42"/>
      <c r="F21" s="42"/>
      <c r="H21" s="51" t="s">
        <v>51</v>
      </c>
      <c r="I21" s="42"/>
      <c r="J21" s="42"/>
      <c r="K21" s="52">
        <f>SUM(K12:K20)</f>
        <v>0</v>
      </c>
    </row>
    <row r="22" spans="1:13" ht="15" customHeight="1" x14ac:dyDescent="0.4">
      <c r="A22" s="42"/>
      <c r="B22" s="42"/>
      <c r="C22" s="42"/>
      <c r="D22" s="42"/>
      <c r="E22" s="42"/>
      <c r="F22" s="42"/>
      <c r="H22" s="51"/>
      <c r="I22" s="42"/>
      <c r="J22" s="42"/>
      <c r="K22" s="52"/>
    </row>
    <row r="23" spans="1:13" ht="15" customHeight="1" x14ac:dyDescent="0.4">
      <c r="A23" s="339" t="s">
        <v>135</v>
      </c>
      <c r="B23" s="340"/>
      <c r="C23" s="340"/>
      <c r="D23" s="340"/>
      <c r="E23" s="340"/>
      <c r="F23" s="340"/>
      <c r="G23" s="341"/>
      <c r="H23" s="342"/>
      <c r="I23" s="340"/>
      <c r="J23" s="340"/>
      <c r="K23" s="356">
        <f>'Portage Bill'!AB9</f>
        <v>0</v>
      </c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339" t="s">
        <v>138</v>
      </c>
      <c r="B25" s="340"/>
      <c r="C25" s="340"/>
      <c r="D25" s="340"/>
      <c r="E25" s="340"/>
      <c r="F25" s="340"/>
      <c r="G25" s="341"/>
      <c r="H25" s="342"/>
      <c r="I25" s="340"/>
      <c r="J25" s="340"/>
      <c r="K25" s="356">
        <f>'Portage Bill'!AC9</f>
        <v>0</v>
      </c>
    </row>
    <row r="26" spans="1:13" ht="15" customHeight="1" x14ac:dyDescent="0.4">
      <c r="A26" s="363"/>
      <c r="B26" s="8"/>
      <c r="C26" s="8"/>
      <c r="D26" s="8"/>
      <c r="E26" s="8"/>
      <c r="F26" s="8"/>
      <c r="G26" s="1"/>
      <c r="H26" s="364"/>
      <c r="I26" s="8"/>
      <c r="J26" s="8"/>
      <c r="K26" s="365"/>
    </row>
    <row r="27" spans="1:13" ht="15" customHeight="1" x14ac:dyDescent="0.4">
      <c r="A27" s="339"/>
      <c r="B27" s="340"/>
      <c r="C27" s="340"/>
      <c r="D27" s="340"/>
      <c r="E27" s="340"/>
      <c r="F27" s="340"/>
      <c r="G27" s="342" t="s">
        <v>139</v>
      </c>
      <c r="H27" s="342"/>
      <c r="I27" s="340"/>
      <c r="J27" s="340"/>
      <c r="K27" s="356">
        <f>SUM(K21:K26)</f>
        <v>0</v>
      </c>
      <c r="M27" s="42"/>
    </row>
    <row r="28" spans="1:13" ht="15" customHeight="1" x14ac:dyDescent="0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357" t="s">
        <v>52</v>
      </c>
      <c r="B29" s="358"/>
      <c r="C29" s="358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88" t="str">
        <f>'Portage Bill'!X7</f>
        <v>Telecon</v>
      </c>
      <c r="B30" s="8"/>
      <c r="C30" s="62">
        <f>'Portage Bill'!X9</f>
        <v>0</v>
      </c>
      <c r="D30" s="42"/>
      <c r="E30" s="42"/>
      <c r="F30" s="42"/>
      <c r="G30" s="42"/>
      <c r="H30" s="42"/>
      <c r="I30" s="42"/>
      <c r="J30" s="42"/>
      <c r="K30" s="62"/>
      <c r="M30" s="42"/>
    </row>
    <row r="31" spans="1:13" ht="15" customHeight="1" x14ac:dyDescent="0.4">
      <c r="A31" s="351" t="s">
        <v>53</v>
      </c>
      <c r="B31" s="8"/>
      <c r="C31" s="62">
        <f>'Portage Bill'!W9</f>
        <v>0</v>
      </c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351" t="s">
        <v>54</v>
      </c>
      <c r="B32" s="8"/>
      <c r="C32" s="62">
        <f>'Portage Bill'!U9</f>
        <v>0</v>
      </c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351" t="s">
        <v>54</v>
      </c>
      <c r="B33" s="8"/>
      <c r="C33" s="62">
        <f>'Portage Bill'!V9</f>
        <v>0</v>
      </c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351" t="s">
        <v>98</v>
      </c>
      <c r="B34" s="8"/>
      <c r="C34" s="62">
        <f>'Portage Bill'!T9</f>
        <v>0</v>
      </c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351" t="s">
        <v>92</v>
      </c>
      <c r="B35" s="8"/>
      <c r="C35" s="62">
        <f>'Portage Bill'!Y9</f>
        <v>0</v>
      </c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351" t="str">
        <f>'Portage Bill'!R7</f>
        <v>***Leave pay</v>
      </c>
      <c r="B36" s="8"/>
      <c r="C36" s="343">
        <f>'Portage Bill'!R9</f>
        <v>0</v>
      </c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351" t="s">
        <v>55</v>
      </c>
      <c r="B37" s="8"/>
      <c r="C37" s="43"/>
      <c r="D37" s="42"/>
      <c r="E37" s="42"/>
      <c r="F37" s="42"/>
      <c r="G37" s="42"/>
      <c r="H37" s="42"/>
      <c r="I37" s="42"/>
      <c r="J37" s="42"/>
      <c r="K37" s="42"/>
    </row>
    <row r="38" spans="1:13" ht="15" customHeight="1" x14ac:dyDescent="0.4">
      <c r="A38" s="359" t="str">
        <f>'deduct list'!W9</f>
        <v>Accumulated Leave pay</v>
      </c>
      <c r="B38" s="44"/>
      <c r="C38" s="44"/>
      <c r="D38" s="42"/>
      <c r="E38" s="294">
        <f>'deduct list'!W11</f>
        <v>0</v>
      </c>
      <c r="F38" s="42"/>
      <c r="G38" s="42"/>
      <c r="H38" s="45"/>
      <c r="I38" s="42"/>
      <c r="J38" s="42"/>
      <c r="K38" s="50"/>
    </row>
    <row r="39" spans="1:13" ht="15" customHeight="1" x14ac:dyDescent="0.4">
      <c r="A39" s="369" t="s">
        <v>56</v>
      </c>
      <c r="B39" s="18"/>
      <c r="C39" s="371">
        <f>SUM(C30:C38)</f>
        <v>0</v>
      </c>
      <c r="D39" s="147"/>
      <c r="E39" s="147"/>
      <c r="F39" s="147"/>
      <c r="G39" s="179"/>
      <c r="H39" s="179"/>
      <c r="I39" s="179"/>
      <c r="J39" s="179"/>
      <c r="K39" s="360"/>
    </row>
    <row r="40" spans="1:13" ht="15" customHeight="1" x14ac:dyDescent="0.45">
      <c r="A40" s="48"/>
      <c r="B40" s="42"/>
      <c r="C40" s="62"/>
      <c r="D40" s="147"/>
      <c r="E40" s="147"/>
      <c r="F40" s="147"/>
      <c r="G40" s="147"/>
      <c r="H40" s="367" t="s">
        <v>136</v>
      </c>
      <c r="I40" s="75"/>
      <c r="J40" s="75"/>
      <c r="K40" s="370">
        <f>'Portage Bill'!S9</f>
        <v>0</v>
      </c>
    </row>
    <row r="41" spans="1:13" ht="15" customHeight="1" x14ac:dyDescent="0.45">
      <c r="A41" s="48"/>
      <c r="B41" s="42"/>
      <c r="C41" s="368"/>
      <c r="D41" s="147"/>
      <c r="E41" s="147"/>
      <c r="F41" s="147"/>
      <c r="G41" s="147"/>
      <c r="H41" s="367"/>
      <c r="I41" s="75"/>
      <c r="J41" s="75"/>
      <c r="K41" s="361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366" t="s">
        <v>137</v>
      </c>
      <c r="I42" s="362"/>
      <c r="J42" s="75"/>
      <c r="K42" s="366">
        <f>'Portage Bill'!AD9</f>
        <v>0</v>
      </c>
    </row>
    <row r="43" spans="1:13" ht="22.5" customHeight="1" x14ac:dyDescent="0.4">
      <c r="A43" s="155" t="s">
        <v>57</v>
      </c>
      <c r="B43" s="147"/>
      <c r="C43" s="165"/>
      <c r="D43" s="165"/>
      <c r="E43" s="208"/>
      <c r="F43" s="179" t="s">
        <v>58</v>
      </c>
      <c r="G43" s="154"/>
      <c r="H43" s="208"/>
      <c r="I43" s="165"/>
      <c r="J43" s="165"/>
      <c r="K43" s="165"/>
      <c r="L43" s="14"/>
    </row>
    <row r="44" spans="1:13" ht="15" customHeight="1" x14ac:dyDescent="0.4">
      <c r="A44" s="155" t="s">
        <v>59</v>
      </c>
      <c r="B44" s="14"/>
      <c r="C44" s="209"/>
      <c r="D44" s="209"/>
      <c r="E44" s="209"/>
      <c r="F44" s="209"/>
      <c r="G44" s="209"/>
      <c r="H44" s="209"/>
      <c r="I44" s="209"/>
      <c r="J44" s="209"/>
      <c r="K44" s="209"/>
      <c r="L44" s="14"/>
    </row>
    <row r="45" spans="1:13" ht="15" customHeight="1" x14ac:dyDescent="0.4">
      <c r="A45" s="155" t="s">
        <v>60</v>
      </c>
      <c r="B45" s="14"/>
      <c r="C45" s="14"/>
      <c r="D45" s="14"/>
      <c r="E45" s="210"/>
      <c r="F45" s="209"/>
      <c r="G45" s="209"/>
      <c r="H45" s="209"/>
      <c r="I45" s="209"/>
      <c r="J45" s="209"/>
      <c r="K45" s="209"/>
      <c r="L45" s="14"/>
    </row>
    <row r="46" spans="1:13" ht="15" customHeight="1" x14ac:dyDescent="0.4">
      <c r="A46" s="155" t="s">
        <v>61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3" ht="21" customHeight="1" x14ac:dyDescent="0.4">
      <c r="A47" s="211" t="s">
        <v>106</v>
      </c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 t="s">
        <v>62</v>
      </c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2" ht="15" customHeight="1" x14ac:dyDescent="0.4">
      <c r="A49" s="147"/>
      <c r="B49" s="14"/>
      <c r="C49" s="14"/>
      <c r="D49" s="14"/>
      <c r="E49" s="179" t="s">
        <v>30</v>
      </c>
      <c r="F49" s="214"/>
      <c r="G49" s="233">
        <f>'Portage Bill'!K2</f>
        <v>41394</v>
      </c>
      <c r="H49" s="14"/>
      <c r="I49" s="14"/>
      <c r="J49" s="14"/>
      <c r="K49" s="14"/>
      <c r="L49" s="14"/>
    </row>
    <row r="50" spans="1:12" ht="24" customHeight="1" x14ac:dyDescent="0.4">
      <c r="A50" s="43"/>
      <c r="B50" s="53"/>
      <c r="C50" s="53"/>
      <c r="D50" s="53"/>
      <c r="G50" s="1"/>
      <c r="H50" s="53"/>
      <c r="I50" s="53"/>
      <c r="J50" s="53"/>
      <c r="K50" s="53"/>
      <c r="L50" s="14"/>
    </row>
    <row r="51" spans="1:12" ht="15" customHeight="1" x14ac:dyDescent="0.35">
      <c r="A51" s="58" t="s">
        <v>63</v>
      </c>
      <c r="B51" s="56"/>
      <c r="C51" s="56"/>
      <c r="D51" s="56"/>
      <c r="H51" s="59" t="s">
        <v>64</v>
      </c>
      <c r="I51" s="57"/>
      <c r="J51" s="57"/>
      <c r="K51" s="57"/>
      <c r="L51" s="14"/>
    </row>
    <row r="52" spans="1:12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2" ht="17.100000000000001" customHeight="1" x14ac:dyDescent="0.35">
      <c r="J53" s="55" t="s">
        <v>65</v>
      </c>
    </row>
    <row r="54" spans="1:12" ht="17.100000000000001" customHeight="1" x14ac:dyDescent="0.35"/>
  </sheetData>
  <sheetProtection formatCells="0" formatColumns="0" formatRows="0"/>
  <phoneticPr fontId="14" type="noConversion"/>
  <pageMargins left="0.74803149606299202" right="0.35433070866141703" top="0.39370078740157499" bottom="0.39370078740157499" header="0.511811023622047" footer="0.511811023622047"/>
  <pageSetup paperSize="9" scale="96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54"/>
  <sheetViews>
    <sheetView view="pageLayout" zoomScaleNormal="112" workbookViewId="0">
      <selection activeCell="B3" sqref="B3"/>
    </sheetView>
  </sheetViews>
  <sheetFormatPr defaultColWidth="9.1328125" defaultRowHeight="12.75" x14ac:dyDescent="0.35"/>
  <cols>
    <col min="2" max="2" width="12" customWidth="1"/>
    <col min="3" max="3" width="12.1328125" customWidth="1"/>
    <col min="4" max="4" width="4.1328125" customWidth="1"/>
    <col min="5" max="5" width="11.33203125" customWidth="1"/>
    <col min="6" max="6" width="3.33203125" customWidth="1"/>
    <col min="7" max="7" width="10.33203125" customWidth="1"/>
    <col min="8" max="8" width="7.46484375" customWidth="1"/>
    <col min="10" max="10" width="5.6640625" customWidth="1"/>
    <col min="11" max="11" width="11.53125" bestFit="1" customWidth="1"/>
  </cols>
  <sheetData>
    <row r="1" spans="1:11" ht="13.15" x14ac:dyDescent="0.4">
      <c r="A1" s="147"/>
      <c r="B1" s="147"/>
      <c r="C1" s="147"/>
      <c r="D1" s="147"/>
      <c r="E1" s="147"/>
      <c r="F1" s="147"/>
      <c r="G1" s="147"/>
      <c r="H1" s="147"/>
      <c r="I1" s="148" t="s">
        <v>80</v>
      </c>
      <c r="J1" s="149" t="s">
        <v>82</v>
      </c>
      <c r="K1" s="150" t="s">
        <v>89</v>
      </c>
    </row>
    <row r="2" spans="1:11" ht="13.15" x14ac:dyDescent="0.4">
      <c r="B2" s="147"/>
      <c r="C2" s="147"/>
      <c r="D2" s="147"/>
      <c r="E2" s="147"/>
      <c r="F2" s="147"/>
      <c r="G2" s="147"/>
      <c r="H2" s="147"/>
      <c r="I2" s="148" t="s">
        <v>81</v>
      </c>
      <c r="J2" s="149" t="s">
        <v>82</v>
      </c>
      <c r="K2" s="151" t="s">
        <v>83</v>
      </c>
    </row>
    <row r="3" spans="1:11" ht="19.899999999999999" x14ac:dyDescent="0.5">
      <c r="A3" s="147"/>
      <c r="B3" s="147"/>
      <c r="C3" s="147"/>
      <c r="D3" s="319" t="s">
        <v>32</v>
      </c>
      <c r="E3" s="147"/>
      <c r="F3" s="147"/>
      <c r="G3" s="147"/>
      <c r="H3" s="147"/>
      <c r="I3" s="153"/>
      <c r="J3" s="154"/>
      <c r="K3" s="154"/>
    </row>
    <row r="4" spans="1:11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</row>
    <row r="6" spans="1:11" ht="15" x14ac:dyDescent="0.4">
      <c r="A6" s="155" t="str">
        <f>'Portage Bill'!B3</f>
        <v xml:space="preserve">Vessel:     </v>
      </c>
      <c r="B6" s="156">
        <f>'Portage Bill'!C3</f>
        <v>0</v>
      </c>
      <c r="C6" s="157"/>
      <c r="D6" s="158"/>
      <c r="E6" s="159"/>
      <c r="F6" s="147"/>
      <c r="G6" s="147"/>
      <c r="H6" s="155" t="s">
        <v>33</v>
      </c>
      <c r="I6" s="155"/>
      <c r="J6" s="160" t="s">
        <v>34</v>
      </c>
      <c r="K6" s="161"/>
    </row>
    <row r="7" spans="1:11" ht="15" customHeight="1" x14ac:dyDescent="0.4">
      <c r="A7" s="147"/>
      <c r="B7" s="147"/>
      <c r="C7" s="147"/>
      <c r="D7" s="147"/>
      <c r="E7" s="147"/>
      <c r="F7" s="147"/>
      <c r="G7" s="147"/>
      <c r="H7" s="155" t="s">
        <v>35</v>
      </c>
      <c r="I7" s="155"/>
      <c r="J7" s="162"/>
      <c r="K7" s="163">
        <f>'Portage Bill'!F61</f>
        <v>0</v>
      </c>
    </row>
    <row r="8" spans="1:11" ht="15" customHeight="1" x14ac:dyDescent="0.4">
      <c r="A8" s="155" t="s">
        <v>36</v>
      </c>
      <c r="B8" s="164">
        <f>'Portage Bill'!B10</f>
        <v>0</v>
      </c>
      <c r="C8" s="165"/>
      <c r="D8" s="165"/>
      <c r="E8" s="147"/>
      <c r="F8" s="147"/>
      <c r="G8" s="147"/>
      <c r="H8" s="155" t="s">
        <v>37</v>
      </c>
      <c r="I8" s="155"/>
      <c r="J8" s="162"/>
      <c r="K8" s="163">
        <f>'Portage Bill'!J61</f>
        <v>0</v>
      </c>
    </row>
    <row r="9" spans="1:11" ht="15" customHeight="1" x14ac:dyDescent="0.4">
      <c r="A9" s="155" t="s">
        <v>38</v>
      </c>
      <c r="B9" s="166" t="str">
        <f>'Portage Bill'!D10</f>
        <v>2nd Officer</v>
      </c>
      <c r="C9" s="165"/>
      <c r="D9" s="147"/>
      <c r="E9" s="147"/>
      <c r="F9" s="147"/>
      <c r="G9" s="147"/>
      <c r="H9" s="155" t="s">
        <v>39</v>
      </c>
      <c r="I9" s="155"/>
      <c r="J9" s="155"/>
      <c r="K9" s="147"/>
    </row>
    <row r="10" spans="1:11" ht="15" customHeight="1" x14ac:dyDescent="0.4">
      <c r="A10" s="155" t="s">
        <v>40</v>
      </c>
      <c r="B10" s="167"/>
      <c r="C10" s="168"/>
      <c r="D10" s="147"/>
      <c r="E10" s="147"/>
      <c r="F10" s="147"/>
      <c r="G10" s="155" t="s">
        <v>41</v>
      </c>
      <c r="H10" s="169"/>
      <c r="I10" s="155" t="s">
        <v>42</v>
      </c>
      <c r="J10" s="316"/>
      <c r="K10" s="171"/>
    </row>
    <row r="11" spans="1:11" ht="15" customHeight="1" x14ac:dyDescent="0.4">
      <c r="A11" s="155"/>
      <c r="B11" s="334"/>
      <c r="C11" s="335"/>
      <c r="D11" s="147"/>
      <c r="E11" s="147"/>
      <c r="F11" s="147"/>
      <c r="G11" s="155"/>
      <c r="H11" s="336"/>
      <c r="I11" s="155"/>
      <c r="J11" s="316"/>
      <c r="K11" s="337"/>
    </row>
    <row r="12" spans="1:11" ht="15" customHeight="1" x14ac:dyDescent="0.4">
      <c r="A12" s="344" t="s">
        <v>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</row>
    <row r="13" spans="1:11" ht="15" customHeight="1" x14ac:dyDescent="0.4">
      <c r="A13" s="346" t="s">
        <v>44</v>
      </c>
      <c r="B13" s="338"/>
      <c r="C13" s="175">
        <f>'Portage Bill'!G2</f>
        <v>41365</v>
      </c>
      <c r="D13" s="347" t="s">
        <v>45</v>
      </c>
      <c r="E13" s="175">
        <f>'Portage Bill'!K2</f>
        <v>41394</v>
      </c>
      <c r="F13" s="348" t="s">
        <v>46</v>
      </c>
      <c r="G13" s="177" t="s">
        <v>114</v>
      </c>
      <c r="H13" s="347" t="s">
        <v>47</v>
      </c>
      <c r="I13" s="178">
        <f>'Portage Bill'!F10</f>
        <v>0</v>
      </c>
      <c r="J13" s="347" t="s">
        <v>43</v>
      </c>
      <c r="K13" s="163">
        <f>'Portage Bill'!G10</f>
        <v>0</v>
      </c>
    </row>
    <row r="14" spans="1:11" ht="15" customHeight="1" x14ac:dyDescent="0.4">
      <c r="A14" s="349" t="s">
        <v>140</v>
      </c>
      <c r="B14" s="350"/>
      <c r="C14" s="43"/>
      <c r="D14" s="43"/>
      <c r="E14" s="43"/>
      <c r="F14" s="351"/>
      <c r="G14" s="8"/>
      <c r="H14" s="43"/>
      <c r="I14" s="352"/>
      <c r="J14" s="353"/>
      <c r="K14" s="49">
        <f>'Portage Bill'!I10</f>
        <v>0</v>
      </c>
    </row>
    <row r="15" spans="1:11" ht="15" customHeight="1" x14ac:dyDescent="0.4">
      <c r="A15" s="349" t="s">
        <v>48</v>
      </c>
      <c r="B15" s="83"/>
      <c r="C15" s="43"/>
      <c r="D15" s="43"/>
      <c r="E15" s="43"/>
      <c r="F15" s="43"/>
      <c r="G15" s="43"/>
      <c r="H15" s="43"/>
      <c r="I15" s="43"/>
      <c r="J15" s="8"/>
      <c r="K15" s="49">
        <f>'Portage Bill'!N10</f>
        <v>0</v>
      </c>
    </row>
    <row r="16" spans="1:11" ht="15" customHeight="1" x14ac:dyDescent="0.4">
      <c r="A16" s="349" t="s">
        <v>49</v>
      </c>
      <c r="B16" s="84"/>
      <c r="C16" s="46" t="s">
        <v>18</v>
      </c>
      <c r="D16" s="43"/>
      <c r="E16" s="43"/>
      <c r="F16" s="43"/>
      <c r="G16" s="43"/>
      <c r="H16" s="43"/>
      <c r="I16" s="43"/>
      <c r="J16" s="8"/>
      <c r="K16" s="49">
        <f>'Portage Bill'!O10</f>
        <v>0</v>
      </c>
    </row>
    <row r="17" spans="1:13" ht="15" customHeight="1" x14ac:dyDescent="0.4">
      <c r="A17" s="349" t="s">
        <v>50</v>
      </c>
      <c r="B17" s="81"/>
      <c r="C17" s="274" t="str">
        <f>'Portage Bill'!L5</f>
        <v>Travelling</v>
      </c>
      <c r="D17" s="43"/>
      <c r="E17" s="43"/>
      <c r="F17" s="43"/>
      <c r="G17" s="43"/>
      <c r="H17" s="43"/>
      <c r="I17" s="43"/>
      <c r="J17" s="8"/>
      <c r="K17" s="49">
        <f>'Portage Bill'!L10</f>
        <v>0</v>
      </c>
    </row>
    <row r="18" spans="1:13" ht="15" customHeight="1" x14ac:dyDescent="0.4">
      <c r="A18" s="351" t="s">
        <v>50</v>
      </c>
      <c r="B18" s="43"/>
      <c r="C18" s="81" t="str">
        <f>'Portage Bill'!J6</f>
        <v>FIDELITY</v>
      </c>
      <c r="D18" s="43"/>
      <c r="E18" s="43"/>
      <c r="F18" s="43"/>
      <c r="G18" s="43"/>
      <c r="H18" s="43"/>
      <c r="I18" s="43"/>
      <c r="J18" s="8"/>
      <c r="K18" s="49">
        <f>'Portage Bill'!J10</f>
        <v>0</v>
      </c>
    </row>
    <row r="19" spans="1:13" ht="15" customHeight="1" x14ac:dyDescent="0.4">
      <c r="A19" s="351" t="s">
        <v>50</v>
      </c>
      <c r="B19" s="43"/>
      <c r="C19" s="82" t="str">
        <f>'Portage Bill'!K5</f>
        <v>ALLOWANCE</v>
      </c>
      <c r="D19" s="43"/>
      <c r="E19" s="43"/>
      <c r="F19" s="43"/>
      <c r="G19" s="43"/>
      <c r="H19" s="43"/>
      <c r="I19" s="43"/>
      <c r="J19" s="8"/>
      <c r="K19" s="50">
        <f>'Portage Bill'!K10</f>
        <v>0</v>
      </c>
    </row>
    <row r="20" spans="1:13" ht="15" customHeight="1" x14ac:dyDescent="0.45">
      <c r="A20" s="354" t="s">
        <v>50</v>
      </c>
      <c r="B20" s="44"/>
      <c r="C20" s="280" t="str">
        <f>'Portage Bill'!P6</f>
        <v>Bonus &amp; Extras</v>
      </c>
      <c r="D20" s="69"/>
      <c r="E20" s="67"/>
      <c r="F20" s="44"/>
      <c r="G20" s="44"/>
      <c r="H20" s="44"/>
      <c r="I20" s="44"/>
      <c r="J20" s="44"/>
      <c r="K20" s="355">
        <f>'Portage Bill'!P10</f>
        <v>0</v>
      </c>
    </row>
    <row r="21" spans="1:13" ht="15" customHeight="1" x14ac:dyDescent="0.4">
      <c r="A21" s="42"/>
      <c r="B21" s="42"/>
      <c r="C21" s="42"/>
      <c r="D21" s="42"/>
      <c r="E21" s="42"/>
      <c r="F21" s="42"/>
      <c r="H21" s="51" t="s">
        <v>51</v>
      </c>
      <c r="I21" s="42"/>
      <c r="J21" s="42"/>
      <c r="K21" s="52">
        <f>SUM(K12:K20)</f>
        <v>0</v>
      </c>
    </row>
    <row r="22" spans="1:13" ht="15" customHeight="1" x14ac:dyDescent="0.4">
      <c r="A22" s="42"/>
      <c r="B22" s="42"/>
      <c r="C22" s="42"/>
      <c r="D22" s="42"/>
      <c r="E22" s="42"/>
      <c r="F22" s="42"/>
      <c r="H22" s="51"/>
      <c r="I22" s="42"/>
      <c r="J22" s="42"/>
      <c r="K22" s="52"/>
    </row>
    <row r="23" spans="1:13" ht="15" customHeight="1" x14ac:dyDescent="0.4">
      <c r="A23" s="339" t="s">
        <v>135</v>
      </c>
      <c r="B23" s="340"/>
      <c r="C23" s="340"/>
      <c r="D23" s="340"/>
      <c r="E23" s="340"/>
      <c r="F23" s="340"/>
      <c r="G23" s="341"/>
      <c r="H23" s="342"/>
      <c r="I23" s="340"/>
      <c r="J23" s="340"/>
      <c r="K23" s="356">
        <f>'Portage Bill'!AB10</f>
        <v>0</v>
      </c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339" t="s">
        <v>138</v>
      </c>
      <c r="B25" s="340"/>
      <c r="C25" s="340"/>
      <c r="D25" s="340"/>
      <c r="E25" s="340"/>
      <c r="F25" s="340"/>
      <c r="G25" s="341"/>
      <c r="H25" s="342"/>
      <c r="I25" s="340"/>
      <c r="J25" s="340"/>
      <c r="K25" s="356">
        <f>'Portage Bill'!AC10</f>
        <v>0</v>
      </c>
    </row>
    <row r="26" spans="1:13" ht="15" customHeight="1" x14ac:dyDescent="0.4">
      <c r="A26" s="363"/>
      <c r="B26" s="8"/>
      <c r="C26" s="8"/>
      <c r="D26" s="8"/>
      <c r="E26" s="8"/>
      <c r="F26" s="8"/>
      <c r="G26" s="1"/>
      <c r="H26" s="364"/>
      <c r="I26" s="8"/>
      <c r="J26" s="8"/>
      <c r="K26" s="365"/>
    </row>
    <row r="27" spans="1:13" ht="15" customHeight="1" x14ac:dyDescent="0.4">
      <c r="A27" s="339"/>
      <c r="B27" s="340"/>
      <c r="C27" s="340"/>
      <c r="D27" s="340"/>
      <c r="E27" s="340"/>
      <c r="F27" s="340"/>
      <c r="G27" s="342" t="s">
        <v>139</v>
      </c>
      <c r="H27" s="342"/>
      <c r="I27" s="340"/>
      <c r="J27" s="340"/>
      <c r="K27" s="356">
        <f>SUM(K21:K26)</f>
        <v>0</v>
      </c>
      <c r="M27" s="42"/>
    </row>
    <row r="28" spans="1:13" ht="15" customHeight="1" x14ac:dyDescent="0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357" t="s">
        <v>52</v>
      </c>
      <c r="B29" s="358"/>
      <c r="C29" s="358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88" t="str">
        <f>'Portage Bill'!X7</f>
        <v>Telecon</v>
      </c>
      <c r="B30" s="8"/>
      <c r="C30" s="62">
        <f>'Portage Bill'!X10</f>
        <v>0</v>
      </c>
      <c r="D30" s="42"/>
      <c r="E30" s="42"/>
      <c r="F30" s="42"/>
      <c r="G30" s="42"/>
      <c r="H30" s="42"/>
      <c r="I30" s="42"/>
      <c r="J30" s="42"/>
      <c r="K30" s="62"/>
      <c r="M30" s="42"/>
    </row>
    <row r="31" spans="1:13" ht="15" customHeight="1" x14ac:dyDescent="0.4">
      <c r="A31" s="351" t="s">
        <v>53</v>
      </c>
      <c r="B31" s="8"/>
      <c r="C31" s="62">
        <f>'Portage Bill'!W10</f>
        <v>0</v>
      </c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351" t="s">
        <v>54</v>
      </c>
      <c r="B32" s="8"/>
      <c r="C32" s="62">
        <f>'Portage Bill'!U10</f>
        <v>0</v>
      </c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351" t="s">
        <v>54</v>
      </c>
      <c r="B33" s="8"/>
      <c r="C33" s="62">
        <f>'Portage Bill'!V10</f>
        <v>0</v>
      </c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351" t="s">
        <v>98</v>
      </c>
      <c r="B34" s="8"/>
      <c r="C34" s="62">
        <f>'Portage Bill'!T10</f>
        <v>0</v>
      </c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351" t="s">
        <v>92</v>
      </c>
      <c r="B35" s="8"/>
      <c r="C35" s="62">
        <f>'Portage Bill'!Y10</f>
        <v>0</v>
      </c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351" t="str">
        <f>'Portage Bill'!R7</f>
        <v>***Leave pay</v>
      </c>
      <c r="B36" s="8"/>
      <c r="C36" s="343">
        <f>'Portage Bill'!R10</f>
        <v>0</v>
      </c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351" t="s">
        <v>55</v>
      </c>
      <c r="B37" s="8"/>
      <c r="C37" s="43"/>
      <c r="D37" s="42"/>
      <c r="E37" s="42"/>
      <c r="F37" s="42"/>
      <c r="G37" s="42"/>
      <c r="H37" s="42"/>
      <c r="I37" s="42"/>
      <c r="J37" s="42"/>
      <c r="K37" s="42"/>
    </row>
    <row r="38" spans="1:13" ht="14.25" customHeight="1" x14ac:dyDescent="0.4">
      <c r="A38" s="359" t="str">
        <f>'deduct list'!W9</f>
        <v>Accumulated Leave pay</v>
      </c>
      <c r="B38" s="44"/>
      <c r="C38" s="44"/>
      <c r="D38" s="42"/>
      <c r="E38" s="294">
        <f>'deduct list'!W12</f>
        <v>0</v>
      </c>
      <c r="F38" s="42"/>
      <c r="G38" s="42"/>
      <c r="H38" s="45"/>
      <c r="I38" s="42"/>
      <c r="J38" s="42"/>
      <c r="K38" s="50"/>
    </row>
    <row r="39" spans="1:13" ht="15" customHeight="1" x14ac:dyDescent="0.4">
      <c r="A39" s="369" t="s">
        <v>56</v>
      </c>
      <c r="B39" s="18"/>
      <c r="C39" s="371">
        <f>SUM(C30:C38)</f>
        <v>0</v>
      </c>
      <c r="D39" s="147"/>
      <c r="E39" s="147"/>
      <c r="F39" s="147"/>
      <c r="G39" s="179"/>
      <c r="H39" s="179"/>
      <c r="I39" s="179"/>
      <c r="J39" s="179"/>
      <c r="K39" s="360"/>
    </row>
    <row r="40" spans="1:13" ht="15" customHeight="1" x14ac:dyDescent="0.45">
      <c r="A40" s="48"/>
      <c r="B40" s="42"/>
      <c r="C40" s="62"/>
      <c r="D40" s="147"/>
      <c r="E40" s="147"/>
      <c r="F40" s="147"/>
      <c r="G40" s="147"/>
      <c r="H40" s="367" t="s">
        <v>136</v>
      </c>
      <c r="I40" s="75"/>
      <c r="J40" s="75"/>
      <c r="K40" s="370">
        <f>'Portage Bill'!S10</f>
        <v>0</v>
      </c>
    </row>
    <row r="41" spans="1:13" ht="15" customHeight="1" x14ac:dyDescent="0.45">
      <c r="A41" s="48"/>
      <c r="B41" s="42"/>
      <c r="C41" s="368"/>
      <c r="D41" s="147"/>
      <c r="E41" s="147"/>
      <c r="F41" s="147"/>
      <c r="G41" s="147"/>
      <c r="H41" s="367"/>
      <c r="I41" s="75"/>
      <c r="J41" s="75"/>
      <c r="K41" s="361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366" t="s">
        <v>137</v>
      </c>
      <c r="I42" s="362"/>
      <c r="J42" s="75"/>
      <c r="K42" s="366">
        <f>'Portage Bill'!AD10</f>
        <v>0</v>
      </c>
    </row>
    <row r="43" spans="1:13" ht="22.5" customHeight="1" x14ac:dyDescent="0.4">
      <c r="A43" s="155" t="s">
        <v>57</v>
      </c>
      <c r="B43" s="147"/>
      <c r="C43" s="165"/>
      <c r="D43" s="165"/>
      <c r="E43" s="208"/>
      <c r="F43" s="179" t="s">
        <v>58</v>
      </c>
      <c r="G43" s="154"/>
      <c r="H43" s="208"/>
      <c r="I43" s="165"/>
      <c r="J43" s="165"/>
      <c r="K43" s="165"/>
    </row>
    <row r="44" spans="1:13" ht="15" customHeight="1" x14ac:dyDescent="0.4">
      <c r="A44" s="155" t="s">
        <v>59</v>
      </c>
      <c r="B44" s="14"/>
      <c r="C44" s="209"/>
      <c r="D44" s="209"/>
      <c r="E44" s="209"/>
      <c r="F44" s="209"/>
      <c r="G44" s="209"/>
      <c r="H44" s="209"/>
      <c r="I44" s="209"/>
      <c r="J44" s="209"/>
      <c r="K44" s="209"/>
    </row>
    <row r="45" spans="1:13" ht="15" customHeight="1" x14ac:dyDescent="0.4">
      <c r="A45" s="155" t="s">
        <v>60</v>
      </c>
      <c r="B45" s="14"/>
      <c r="C45" s="14"/>
      <c r="D45" s="14"/>
      <c r="E45" s="210"/>
      <c r="F45" s="209"/>
      <c r="G45" s="209"/>
      <c r="H45" s="209"/>
      <c r="I45" s="209"/>
      <c r="J45" s="209"/>
      <c r="K45" s="209"/>
    </row>
    <row r="46" spans="1:13" ht="15" customHeight="1" x14ac:dyDescent="0.4">
      <c r="A46" s="155" t="s">
        <v>61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3" ht="21" customHeight="1" x14ac:dyDescent="0.4">
      <c r="A47" s="211" t="s">
        <v>106</v>
      </c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 t="s">
        <v>62</v>
      </c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1" ht="15" customHeight="1" x14ac:dyDescent="0.4">
      <c r="A49" s="147"/>
      <c r="B49" s="14"/>
      <c r="C49" s="14"/>
      <c r="D49" s="14"/>
      <c r="E49" s="179" t="s">
        <v>30</v>
      </c>
      <c r="F49" s="214"/>
      <c r="G49" s="233">
        <f>'Portage Bill'!K2</f>
        <v>41394</v>
      </c>
      <c r="H49" s="14"/>
      <c r="I49" s="14"/>
      <c r="J49" s="14"/>
      <c r="K49" s="14"/>
    </row>
    <row r="50" spans="1:11" ht="24" customHeight="1" x14ac:dyDescent="0.4">
      <c r="A50" s="43"/>
      <c r="B50" s="53"/>
      <c r="C50" s="53"/>
      <c r="D50" s="53"/>
      <c r="G50" s="1"/>
      <c r="H50" s="53"/>
      <c r="I50" s="53"/>
      <c r="J50" s="53"/>
      <c r="K50" s="53"/>
    </row>
    <row r="51" spans="1:11" ht="15" customHeight="1" x14ac:dyDescent="0.35">
      <c r="A51" s="58" t="s">
        <v>63</v>
      </c>
      <c r="B51" s="56"/>
      <c r="C51" s="56"/>
      <c r="D51" s="56"/>
      <c r="H51" s="59" t="s">
        <v>64</v>
      </c>
      <c r="I51" s="57"/>
      <c r="J51" s="57"/>
      <c r="K51" s="57"/>
    </row>
    <row r="52" spans="1:11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1" ht="17.100000000000001" customHeight="1" x14ac:dyDescent="0.35">
      <c r="J53" s="55" t="s">
        <v>65</v>
      </c>
    </row>
    <row r="54" spans="1:11" ht="17.100000000000001" customHeight="1" x14ac:dyDescent="0.35"/>
  </sheetData>
  <sheetProtection formatCells="0" formatColumns="0" formatRows="0"/>
  <phoneticPr fontId="14" type="noConversion"/>
  <pageMargins left="0.74803149606299202" right="0.35433070866141703" top="0.39370078740157499" bottom="0.39370078740157499" header="0.511811023622047" footer="0.511811023622047"/>
  <pageSetup paperSize="9" scale="95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M54"/>
  <sheetViews>
    <sheetView view="pageLayout" zoomScaleNormal="100" workbookViewId="0">
      <selection activeCell="A2" sqref="A2"/>
    </sheetView>
  </sheetViews>
  <sheetFormatPr defaultRowHeight="12.75" x14ac:dyDescent="0.35"/>
  <cols>
    <col min="1" max="1" width="10.6640625" customWidth="1"/>
    <col min="2" max="2" width="11.86328125" customWidth="1"/>
    <col min="3" max="3" width="12.1328125" customWidth="1"/>
    <col min="4" max="4" width="4.1328125" customWidth="1"/>
    <col min="5" max="5" width="11.33203125" customWidth="1"/>
    <col min="6" max="6" width="3.33203125" customWidth="1"/>
    <col min="7" max="7" width="11.46484375" customWidth="1"/>
    <col min="8" max="8" width="7.46484375" customWidth="1"/>
    <col min="10" max="10" width="5.6640625" customWidth="1"/>
    <col min="11" max="11" width="10.1328125" customWidth="1"/>
  </cols>
  <sheetData>
    <row r="1" spans="1:11" ht="13.15" x14ac:dyDescent="0.4">
      <c r="A1" s="147"/>
      <c r="B1" s="147"/>
      <c r="C1" s="147"/>
      <c r="D1" s="147"/>
      <c r="E1" s="147"/>
      <c r="F1" s="147"/>
      <c r="G1" s="147"/>
      <c r="H1" s="147"/>
      <c r="I1" s="148" t="s">
        <v>80</v>
      </c>
      <c r="J1" s="149" t="s">
        <v>82</v>
      </c>
      <c r="K1" s="150" t="s">
        <v>89</v>
      </c>
    </row>
    <row r="2" spans="1:11" ht="13.15" x14ac:dyDescent="0.4">
      <c r="A2" s="147"/>
      <c r="B2" s="147"/>
      <c r="C2" s="147"/>
      <c r="D2" s="147"/>
      <c r="E2" s="147"/>
      <c r="F2" s="147"/>
      <c r="G2" s="147"/>
      <c r="H2" s="147"/>
      <c r="I2" s="148" t="s">
        <v>81</v>
      </c>
      <c r="J2" s="149" t="s">
        <v>82</v>
      </c>
      <c r="K2" s="151" t="s">
        <v>83</v>
      </c>
    </row>
    <row r="3" spans="1:11" ht="19.899999999999999" x14ac:dyDescent="0.5">
      <c r="A3" s="147"/>
      <c r="B3" s="147"/>
      <c r="C3" s="147"/>
      <c r="D3" s="319" t="s">
        <v>32</v>
      </c>
      <c r="E3" s="147"/>
      <c r="F3" s="147"/>
      <c r="G3" s="147"/>
      <c r="H3" s="147"/>
      <c r="I3" s="153"/>
      <c r="J3" s="154"/>
      <c r="K3" s="154"/>
    </row>
    <row r="4" spans="1:11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</row>
    <row r="6" spans="1:11" ht="15" x14ac:dyDescent="0.4">
      <c r="A6" s="155" t="str">
        <f>'Portage Bill'!B3</f>
        <v xml:space="preserve">Vessel:     </v>
      </c>
      <c r="B6" s="156">
        <f>'Portage Bill'!C3</f>
        <v>0</v>
      </c>
      <c r="C6" s="157"/>
      <c r="D6" s="158"/>
      <c r="E6" s="159"/>
      <c r="F6" s="147"/>
      <c r="G6" s="147"/>
      <c r="H6" s="155" t="s">
        <v>33</v>
      </c>
      <c r="I6" s="155"/>
      <c r="J6" s="160" t="s">
        <v>34</v>
      </c>
      <c r="K6" s="161"/>
    </row>
    <row r="7" spans="1:11" ht="15" customHeight="1" x14ac:dyDescent="0.4">
      <c r="A7" s="147"/>
      <c r="B7" s="147"/>
      <c r="C7" s="147"/>
      <c r="D7" s="147"/>
      <c r="E7" s="147"/>
      <c r="F7" s="147"/>
      <c r="G7" s="147"/>
      <c r="H7" s="155" t="s">
        <v>35</v>
      </c>
      <c r="I7" s="155"/>
      <c r="J7" s="162"/>
      <c r="K7" s="163">
        <f>'Portage Bill'!F62</f>
        <v>0</v>
      </c>
    </row>
    <row r="8" spans="1:11" ht="15" customHeight="1" x14ac:dyDescent="0.4">
      <c r="A8" s="155" t="s">
        <v>36</v>
      </c>
      <c r="B8" s="164">
        <f>'Portage Bill'!B11</f>
        <v>0</v>
      </c>
      <c r="C8" s="165"/>
      <c r="D8" s="165"/>
      <c r="E8" s="147"/>
      <c r="F8" s="147"/>
      <c r="G8" s="147"/>
      <c r="H8" s="155" t="s">
        <v>37</v>
      </c>
      <c r="I8" s="155"/>
      <c r="J8" s="162"/>
      <c r="K8" s="163">
        <f>'Portage Bill'!J62</f>
        <v>0</v>
      </c>
    </row>
    <row r="9" spans="1:11" ht="15" customHeight="1" x14ac:dyDescent="0.4">
      <c r="A9" s="155" t="s">
        <v>38</v>
      </c>
      <c r="B9" s="166" t="str">
        <f>'Portage Bill'!D11</f>
        <v>3d Officer</v>
      </c>
      <c r="C9" s="165"/>
      <c r="D9" s="147"/>
      <c r="E9" s="147"/>
      <c r="F9" s="147"/>
      <c r="G9" s="147"/>
      <c r="H9" s="155" t="s">
        <v>39</v>
      </c>
      <c r="I9" s="155"/>
      <c r="J9" s="155"/>
      <c r="K9" s="147"/>
    </row>
    <row r="10" spans="1:11" ht="15" customHeight="1" x14ac:dyDescent="0.4">
      <c r="A10" s="155" t="s">
        <v>40</v>
      </c>
      <c r="B10" s="167"/>
      <c r="C10" s="168"/>
      <c r="D10" s="147"/>
      <c r="E10" s="147"/>
      <c r="F10" s="147"/>
      <c r="G10" s="155" t="s">
        <v>41</v>
      </c>
      <c r="H10" s="169"/>
      <c r="I10" s="155" t="s">
        <v>42</v>
      </c>
      <c r="J10" s="316"/>
      <c r="K10" s="171"/>
    </row>
    <row r="11" spans="1:11" ht="15" customHeight="1" x14ac:dyDescent="0.4">
      <c r="A11" s="155"/>
      <c r="B11" s="334"/>
      <c r="C11" s="335"/>
      <c r="D11" s="147"/>
      <c r="E11" s="147"/>
      <c r="F11" s="147"/>
      <c r="G11" s="155"/>
      <c r="H11" s="336"/>
      <c r="I11" s="155"/>
      <c r="J11" s="316"/>
      <c r="K11" s="337"/>
    </row>
    <row r="12" spans="1:11" ht="15" customHeight="1" x14ac:dyDescent="0.4">
      <c r="A12" s="344" t="s">
        <v>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</row>
    <row r="13" spans="1:11" ht="15" customHeight="1" x14ac:dyDescent="0.4">
      <c r="A13" s="346" t="s">
        <v>44</v>
      </c>
      <c r="B13" s="338"/>
      <c r="C13" s="175">
        <f>'Portage Bill'!G2</f>
        <v>41365</v>
      </c>
      <c r="D13" s="347" t="s">
        <v>45</v>
      </c>
      <c r="E13" s="175">
        <f>'Portage Bill'!K2</f>
        <v>41394</v>
      </c>
      <c r="F13" s="348" t="s">
        <v>46</v>
      </c>
      <c r="G13" s="177" t="s">
        <v>114</v>
      </c>
      <c r="H13" s="347" t="s">
        <v>47</v>
      </c>
      <c r="I13" s="178">
        <f>'Portage Bill'!F11</f>
        <v>0</v>
      </c>
      <c r="J13" s="347" t="s">
        <v>43</v>
      </c>
      <c r="K13" s="163">
        <f>'Portage Bill'!G11</f>
        <v>0</v>
      </c>
    </row>
    <row r="14" spans="1:11" ht="15" customHeight="1" x14ac:dyDescent="0.4">
      <c r="A14" s="349" t="s">
        <v>140</v>
      </c>
      <c r="B14" s="350"/>
      <c r="C14" s="43"/>
      <c r="D14" s="43"/>
      <c r="E14" s="43"/>
      <c r="F14" s="351"/>
      <c r="G14" s="8"/>
      <c r="H14" s="43"/>
      <c r="I14" s="352"/>
      <c r="J14" s="353"/>
      <c r="K14" s="49">
        <f>'Portage Bill'!I11</f>
        <v>0</v>
      </c>
    </row>
    <row r="15" spans="1:11" ht="15" customHeight="1" x14ac:dyDescent="0.4">
      <c r="A15" s="349" t="s">
        <v>48</v>
      </c>
      <c r="B15" s="83"/>
      <c r="C15" s="43"/>
      <c r="D15" s="43"/>
      <c r="E15" s="43"/>
      <c r="F15" s="43"/>
      <c r="G15" s="43"/>
      <c r="H15" s="43"/>
      <c r="I15" s="43"/>
      <c r="J15" s="8"/>
      <c r="K15" s="49">
        <f>'Portage Bill'!N11</f>
        <v>0</v>
      </c>
    </row>
    <row r="16" spans="1:11" ht="15" customHeight="1" x14ac:dyDescent="0.4">
      <c r="A16" s="349" t="s">
        <v>49</v>
      </c>
      <c r="B16" s="84"/>
      <c r="C16" s="46" t="s">
        <v>18</v>
      </c>
      <c r="D16" s="43"/>
      <c r="E16" s="43"/>
      <c r="F16" s="43"/>
      <c r="G16" s="43"/>
      <c r="H16" s="43"/>
      <c r="I16" s="43"/>
      <c r="J16" s="8"/>
      <c r="K16" s="49">
        <f>'Portage Bill'!O11</f>
        <v>0</v>
      </c>
    </row>
    <row r="17" spans="1:13" ht="15" customHeight="1" x14ac:dyDescent="0.4">
      <c r="A17" s="349" t="s">
        <v>50</v>
      </c>
      <c r="B17" s="81"/>
      <c r="C17" s="274" t="str">
        <f>'Portage Bill'!L5</f>
        <v>Travelling</v>
      </c>
      <c r="D17" s="43"/>
      <c r="E17" s="43"/>
      <c r="F17" s="43"/>
      <c r="G17" s="43"/>
      <c r="H17" s="43"/>
      <c r="I17" s="43"/>
      <c r="J17" s="8"/>
      <c r="K17" s="49">
        <f>'Portage Bill'!L11</f>
        <v>0</v>
      </c>
    </row>
    <row r="18" spans="1:13" ht="15" customHeight="1" x14ac:dyDescent="0.4">
      <c r="A18" s="351" t="s">
        <v>50</v>
      </c>
      <c r="B18" s="43"/>
      <c r="C18" s="81" t="str">
        <f>'Portage Bill'!J6</f>
        <v>FIDELITY</v>
      </c>
      <c r="D18" s="43"/>
      <c r="E18" s="43"/>
      <c r="F18" s="43"/>
      <c r="G18" s="43"/>
      <c r="H18" s="43"/>
      <c r="I18" s="43"/>
      <c r="J18" s="8"/>
      <c r="K18" s="49">
        <f>'Portage Bill'!J11</f>
        <v>0</v>
      </c>
    </row>
    <row r="19" spans="1:13" ht="15" customHeight="1" x14ac:dyDescent="0.4">
      <c r="A19" s="351" t="s">
        <v>50</v>
      </c>
      <c r="B19" s="43"/>
      <c r="C19" s="82" t="str">
        <f>'Portage Bill'!K5</f>
        <v>ALLOWANCE</v>
      </c>
      <c r="D19" s="43"/>
      <c r="E19" s="43"/>
      <c r="F19" s="43"/>
      <c r="G19" s="43"/>
      <c r="H19" s="43"/>
      <c r="I19" s="43"/>
      <c r="J19" s="8"/>
      <c r="K19" s="50">
        <f>'Portage Bill'!K11</f>
        <v>0</v>
      </c>
    </row>
    <row r="20" spans="1:13" ht="15" customHeight="1" x14ac:dyDescent="0.45">
      <c r="A20" s="354" t="s">
        <v>50</v>
      </c>
      <c r="B20" s="44"/>
      <c r="C20" s="280" t="str">
        <f>'Portage Bill'!P6</f>
        <v>Bonus &amp; Extras</v>
      </c>
      <c r="D20" s="69"/>
      <c r="E20" s="67"/>
      <c r="F20" s="44"/>
      <c r="G20" s="44"/>
      <c r="H20" s="44"/>
      <c r="I20" s="44"/>
      <c r="J20" s="44"/>
      <c r="K20" s="355">
        <f>'Portage Bill'!P11</f>
        <v>0</v>
      </c>
    </row>
    <row r="21" spans="1:13" ht="15" customHeight="1" x14ac:dyDescent="0.4">
      <c r="A21" s="42"/>
      <c r="B21" s="42"/>
      <c r="C21" s="42"/>
      <c r="D21" s="42"/>
      <c r="E21" s="42"/>
      <c r="F21" s="42"/>
      <c r="H21" s="51" t="s">
        <v>51</v>
      </c>
      <c r="I21" s="42"/>
      <c r="J21" s="42"/>
      <c r="K21" s="52">
        <f>SUM(K12:K20)</f>
        <v>0</v>
      </c>
    </row>
    <row r="22" spans="1:13" ht="15" customHeight="1" x14ac:dyDescent="0.4">
      <c r="A22" s="42"/>
      <c r="B22" s="42"/>
      <c r="C22" s="42"/>
      <c r="D22" s="42"/>
      <c r="E22" s="42"/>
      <c r="F22" s="42"/>
      <c r="H22" s="51"/>
      <c r="I22" s="42"/>
      <c r="J22" s="42"/>
      <c r="K22" s="52"/>
    </row>
    <row r="23" spans="1:13" ht="15" customHeight="1" x14ac:dyDescent="0.4">
      <c r="A23" s="339" t="s">
        <v>135</v>
      </c>
      <c r="B23" s="340"/>
      <c r="C23" s="340"/>
      <c r="D23" s="340"/>
      <c r="E23" s="340"/>
      <c r="F23" s="340"/>
      <c r="G23" s="341"/>
      <c r="H23" s="342"/>
      <c r="I23" s="340"/>
      <c r="J23" s="340"/>
      <c r="K23" s="356">
        <f>'Portage Bill'!AB11</f>
        <v>0</v>
      </c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339" t="s">
        <v>138</v>
      </c>
      <c r="B25" s="340"/>
      <c r="C25" s="340"/>
      <c r="D25" s="340"/>
      <c r="E25" s="340"/>
      <c r="F25" s="340"/>
      <c r="G25" s="341"/>
      <c r="H25" s="342"/>
      <c r="I25" s="340"/>
      <c r="J25" s="340"/>
      <c r="K25" s="356">
        <f>'Portage Bill'!AC11</f>
        <v>0</v>
      </c>
    </row>
    <row r="26" spans="1:13" ht="15" customHeight="1" x14ac:dyDescent="0.4">
      <c r="A26" s="363"/>
      <c r="B26" s="8"/>
      <c r="C26" s="8"/>
      <c r="D26" s="8"/>
      <c r="E26" s="8"/>
      <c r="F26" s="8"/>
      <c r="G26" s="1"/>
      <c r="H26" s="364"/>
      <c r="I26" s="8"/>
      <c r="J26" s="8"/>
      <c r="K26" s="365"/>
    </row>
    <row r="27" spans="1:13" ht="15" customHeight="1" x14ac:dyDescent="0.4">
      <c r="A27" s="339"/>
      <c r="B27" s="340"/>
      <c r="C27" s="340"/>
      <c r="D27" s="340"/>
      <c r="E27" s="340"/>
      <c r="F27" s="340"/>
      <c r="G27" s="342" t="s">
        <v>139</v>
      </c>
      <c r="H27" s="342"/>
      <c r="I27" s="340"/>
      <c r="J27" s="340"/>
      <c r="K27" s="356">
        <f>SUM(K21:K26)</f>
        <v>0</v>
      </c>
      <c r="M27" s="42"/>
    </row>
    <row r="28" spans="1:13" ht="15" customHeight="1" x14ac:dyDescent="0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357" t="s">
        <v>52</v>
      </c>
      <c r="B29" s="358"/>
      <c r="C29" s="358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88" t="str">
        <f>'Portage Bill'!X7</f>
        <v>Telecon</v>
      </c>
      <c r="B30" s="8"/>
      <c r="C30" s="62">
        <f>'Portage Bill'!X11</f>
        <v>0</v>
      </c>
      <c r="D30" s="42"/>
      <c r="E30" s="42"/>
      <c r="F30" s="42"/>
      <c r="G30" s="42"/>
      <c r="H30" s="42"/>
      <c r="I30" s="42"/>
      <c r="J30" s="42"/>
      <c r="K30" s="62"/>
      <c r="M30" s="42"/>
    </row>
    <row r="31" spans="1:13" ht="15" customHeight="1" x14ac:dyDescent="0.4">
      <c r="A31" s="351" t="s">
        <v>53</v>
      </c>
      <c r="B31" s="8"/>
      <c r="C31" s="62">
        <f>'Portage Bill'!W11</f>
        <v>0</v>
      </c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351" t="s">
        <v>54</v>
      </c>
      <c r="B32" s="8"/>
      <c r="C32" s="62">
        <f>'Portage Bill'!U11</f>
        <v>0</v>
      </c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351" t="s">
        <v>54</v>
      </c>
      <c r="B33" s="8"/>
      <c r="C33" s="62">
        <f>'Portage Bill'!V11</f>
        <v>0</v>
      </c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351" t="s">
        <v>98</v>
      </c>
      <c r="B34" s="8"/>
      <c r="C34" s="62">
        <f>'Portage Bill'!T11</f>
        <v>0</v>
      </c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351" t="s">
        <v>92</v>
      </c>
      <c r="B35" s="8"/>
      <c r="C35" s="62">
        <f>'Portage Bill'!Y11</f>
        <v>0</v>
      </c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351" t="str">
        <f>'Portage Bill'!R7</f>
        <v>***Leave pay</v>
      </c>
      <c r="B36" s="8"/>
      <c r="C36" s="343">
        <f>'Portage Bill'!R11</f>
        <v>0</v>
      </c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351" t="s">
        <v>55</v>
      </c>
      <c r="B37" s="8"/>
      <c r="C37" s="43"/>
      <c r="D37" s="42"/>
      <c r="E37" s="42"/>
      <c r="F37" s="42"/>
      <c r="G37" s="42"/>
      <c r="H37" s="42"/>
      <c r="I37" s="42"/>
      <c r="J37" s="42"/>
      <c r="K37" s="42"/>
    </row>
    <row r="38" spans="1:13" ht="16.5" customHeight="1" x14ac:dyDescent="0.4">
      <c r="A38" s="359" t="str">
        <f>'deduct list'!W9</f>
        <v>Accumulated Leave pay</v>
      </c>
      <c r="B38" s="44"/>
      <c r="C38" s="44"/>
      <c r="D38" s="42"/>
      <c r="E38" s="294">
        <f>'deduct list'!W13</f>
        <v>0</v>
      </c>
      <c r="F38" s="42"/>
      <c r="G38" s="42"/>
      <c r="H38" s="45"/>
      <c r="I38" s="42"/>
      <c r="J38" s="42"/>
      <c r="K38" s="50"/>
    </row>
    <row r="39" spans="1:13" ht="15" customHeight="1" x14ac:dyDescent="0.4">
      <c r="A39" s="369" t="s">
        <v>56</v>
      </c>
      <c r="B39" s="18"/>
      <c r="C39" s="371">
        <f>SUM(C30:C38)</f>
        <v>0</v>
      </c>
      <c r="D39" s="147"/>
      <c r="E39" s="147"/>
      <c r="F39" s="147"/>
      <c r="G39" s="179"/>
      <c r="H39" s="179"/>
      <c r="I39" s="179"/>
      <c r="J39" s="179"/>
      <c r="K39" s="360"/>
    </row>
    <row r="40" spans="1:13" ht="15" customHeight="1" x14ac:dyDescent="0.45">
      <c r="A40" s="48"/>
      <c r="B40" s="42"/>
      <c r="C40" s="62"/>
      <c r="D40" s="147"/>
      <c r="E40" s="147"/>
      <c r="F40" s="147"/>
      <c r="G40" s="147"/>
      <c r="H40" s="367" t="s">
        <v>136</v>
      </c>
      <c r="I40" s="75"/>
      <c r="J40" s="75"/>
      <c r="K40" s="370">
        <f>'Portage Bill'!S11</f>
        <v>0</v>
      </c>
    </row>
    <row r="41" spans="1:13" ht="15" customHeight="1" x14ac:dyDescent="0.45">
      <c r="A41" s="48"/>
      <c r="B41" s="42"/>
      <c r="C41" s="368"/>
      <c r="D41" s="147"/>
      <c r="E41" s="147"/>
      <c r="F41" s="147"/>
      <c r="G41" s="147"/>
      <c r="H41" s="367"/>
      <c r="I41" s="75"/>
      <c r="J41" s="75"/>
      <c r="K41" s="361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366" t="s">
        <v>137</v>
      </c>
      <c r="I42" s="362"/>
      <c r="J42" s="75"/>
      <c r="K42" s="366">
        <f>'Portage Bill'!AD11</f>
        <v>0</v>
      </c>
      <c r="L42" s="14"/>
    </row>
    <row r="43" spans="1:13" ht="22.5" customHeight="1" x14ac:dyDescent="0.4">
      <c r="A43" s="155" t="s">
        <v>57</v>
      </c>
      <c r="B43" s="147"/>
      <c r="C43" s="165"/>
      <c r="D43" s="165"/>
      <c r="E43" s="208"/>
      <c r="F43" s="179" t="s">
        <v>58</v>
      </c>
      <c r="G43" s="154"/>
      <c r="H43" s="208"/>
      <c r="I43" s="165"/>
      <c r="J43" s="165"/>
      <c r="K43" s="165"/>
      <c r="L43" s="14"/>
    </row>
    <row r="44" spans="1:13" ht="15" customHeight="1" x14ac:dyDescent="0.4">
      <c r="A44" s="155" t="s">
        <v>59</v>
      </c>
      <c r="B44" s="14"/>
      <c r="C44" s="209"/>
      <c r="D44" s="209"/>
      <c r="E44" s="209"/>
      <c r="F44" s="209"/>
      <c r="G44" s="209"/>
      <c r="H44" s="209"/>
      <c r="I44" s="209"/>
      <c r="J44" s="209"/>
      <c r="K44" s="209"/>
      <c r="L44" s="14"/>
    </row>
    <row r="45" spans="1:13" ht="15" customHeight="1" x14ac:dyDescent="0.4">
      <c r="A45" s="155" t="s">
        <v>60</v>
      </c>
      <c r="B45" s="14"/>
      <c r="C45" s="14"/>
      <c r="D45" s="14"/>
      <c r="E45" s="210"/>
      <c r="F45" s="209"/>
      <c r="G45" s="209"/>
      <c r="H45" s="209"/>
      <c r="I45" s="209"/>
      <c r="J45" s="209"/>
      <c r="K45" s="209"/>
      <c r="L45" s="14"/>
    </row>
    <row r="46" spans="1:13" ht="15" customHeight="1" x14ac:dyDescent="0.4">
      <c r="A46" s="155" t="s">
        <v>61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3" ht="21" customHeight="1" x14ac:dyDescent="0.4">
      <c r="A47" s="211" t="s">
        <v>106</v>
      </c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 t="s">
        <v>62</v>
      </c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2" ht="15" customHeight="1" x14ac:dyDescent="0.4">
      <c r="A49" s="147"/>
      <c r="B49" s="14"/>
      <c r="C49" s="14"/>
      <c r="D49" s="14"/>
      <c r="E49" s="179" t="s">
        <v>30</v>
      </c>
      <c r="F49" s="214"/>
      <c r="G49" s="233">
        <f>'Portage Bill'!K2</f>
        <v>41394</v>
      </c>
      <c r="H49" s="14"/>
      <c r="I49" s="14"/>
      <c r="J49" s="14"/>
      <c r="K49" s="14"/>
      <c r="L49" s="14"/>
    </row>
    <row r="50" spans="1:12" ht="24" customHeight="1" x14ac:dyDescent="0.4">
      <c r="A50" s="43"/>
      <c r="B50" s="53"/>
      <c r="C50" s="53"/>
      <c r="D50" s="53"/>
      <c r="G50" s="1"/>
      <c r="H50" s="53"/>
      <c r="I50" s="53"/>
      <c r="J50" s="53"/>
      <c r="K50" s="53"/>
    </row>
    <row r="51" spans="1:12" ht="15" customHeight="1" x14ac:dyDescent="0.35">
      <c r="A51" s="58" t="s">
        <v>63</v>
      </c>
      <c r="B51" s="56"/>
      <c r="C51" s="56"/>
      <c r="D51" s="56"/>
      <c r="H51" s="59" t="s">
        <v>64</v>
      </c>
      <c r="I51" s="57"/>
      <c r="J51" s="57"/>
      <c r="K51" s="57"/>
    </row>
    <row r="52" spans="1:12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2" ht="17.100000000000001" customHeight="1" x14ac:dyDescent="0.35">
      <c r="J53" s="55" t="s">
        <v>65</v>
      </c>
    </row>
    <row r="54" spans="1:12" ht="17.100000000000001" customHeight="1" x14ac:dyDescent="0.35"/>
  </sheetData>
  <sheetProtection formatCells="0" formatColumns="0" formatRows="0"/>
  <phoneticPr fontId="14" type="noConversion"/>
  <pageMargins left="0.74803149606299202" right="0.35433070866141703" top="0.39370078740157499" bottom="0.39370078740157499" header="0.511811023622047" footer="0.511811023622047"/>
  <pageSetup paperSize="9" scale="95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M54"/>
  <sheetViews>
    <sheetView view="pageLayout" zoomScaleNormal="106" workbookViewId="0">
      <selection activeCell="C13" sqref="C13"/>
    </sheetView>
  </sheetViews>
  <sheetFormatPr defaultRowHeight="12.75" x14ac:dyDescent="0.35"/>
  <cols>
    <col min="1" max="1" width="10.86328125" customWidth="1"/>
    <col min="2" max="2" width="11.46484375" customWidth="1"/>
    <col min="3" max="3" width="12.1328125" customWidth="1"/>
    <col min="4" max="4" width="4.1328125" customWidth="1"/>
    <col min="5" max="5" width="12.1328125" customWidth="1"/>
    <col min="6" max="6" width="3.33203125" customWidth="1"/>
    <col min="7" max="7" width="12" customWidth="1"/>
    <col min="8" max="8" width="7.46484375" customWidth="1"/>
    <col min="10" max="10" width="5.6640625" customWidth="1"/>
    <col min="11" max="11" width="11.53125" bestFit="1" customWidth="1"/>
  </cols>
  <sheetData>
    <row r="1" spans="1:11" s="14" customFormat="1" ht="13.15" x14ac:dyDescent="0.4">
      <c r="A1" s="147"/>
      <c r="B1" s="147"/>
      <c r="C1" s="147"/>
      <c r="D1" s="147"/>
      <c r="E1" s="147"/>
      <c r="F1" s="147"/>
      <c r="G1" s="147"/>
      <c r="H1" s="147"/>
      <c r="I1" s="148" t="s">
        <v>80</v>
      </c>
      <c r="J1" s="149" t="s">
        <v>82</v>
      </c>
      <c r="K1" s="150" t="s">
        <v>89</v>
      </c>
    </row>
    <row r="2" spans="1:11" s="14" customFormat="1" ht="13.15" x14ac:dyDescent="0.4">
      <c r="A2" s="147"/>
      <c r="B2" s="147"/>
      <c r="C2" s="147"/>
      <c r="D2" s="147"/>
      <c r="E2" s="147"/>
      <c r="F2" s="147"/>
      <c r="G2" s="147"/>
      <c r="H2" s="147"/>
      <c r="I2" s="148" t="s">
        <v>81</v>
      </c>
      <c r="J2" s="149" t="s">
        <v>82</v>
      </c>
      <c r="K2" s="151" t="s">
        <v>83</v>
      </c>
    </row>
    <row r="3" spans="1:11" s="14" customFormat="1" ht="19.899999999999999" x14ac:dyDescent="0.5">
      <c r="A3" s="147"/>
      <c r="B3" s="147"/>
      <c r="C3" s="147"/>
      <c r="D3" s="319" t="s">
        <v>32</v>
      </c>
      <c r="E3" s="147"/>
      <c r="F3" s="147"/>
      <c r="G3" s="147"/>
      <c r="H3" s="147"/>
      <c r="I3" s="153"/>
      <c r="J3" s="154"/>
      <c r="K3" s="154"/>
    </row>
    <row r="4" spans="1:11" s="14" customFormat="1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s="14" customFormat="1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</row>
    <row r="6" spans="1:11" s="14" customFormat="1" ht="15" x14ac:dyDescent="0.4">
      <c r="A6" s="155" t="str">
        <f>'Portage Bill'!B3</f>
        <v xml:space="preserve">Vessel:     </v>
      </c>
      <c r="B6" s="156">
        <f>'Portage Bill'!C3</f>
        <v>0</v>
      </c>
      <c r="C6" s="157"/>
      <c r="D6" s="158"/>
      <c r="E6" s="159"/>
      <c r="F6" s="147"/>
      <c r="G6" s="147"/>
      <c r="H6" s="155" t="s">
        <v>33</v>
      </c>
      <c r="I6" s="155"/>
      <c r="J6" s="160" t="s">
        <v>34</v>
      </c>
      <c r="K6" s="161"/>
    </row>
    <row r="7" spans="1:11" s="14" customFormat="1" ht="15" customHeight="1" x14ac:dyDescent="0.4">
      <c r="A7" s="147"/>
      <c r="B7" s="147"/>
      <c r="C7" s="147"/>
      <c r="D7" s="147"/>
      <c r="E7" s="147"/>
      <c r="F7" s="147"/>
      <c r="G7" s="147"/>
      <c r="H7" s="155" t="s">
        <v>35</v>
      </c>
      <c r="I7" s="155"/>
      <c r="J7" s="162"/>
      <c r="K7" s="163">
        <f>'Portage Bill'!F63</f>
        <v>0</v>
      </c>
    </row>
    <row r="8" spans="1:11" s="14" customFormat="1" ht="15" customHeight="1" x14ac:dyDescent="0.4">
      <c r="A8" s="155" t="s">
        <v>36</v>
      </c>
      <c r="B8" s="164">
        <f>'Portage Bill'!B12</f>
        <v>0</v>
      </c>
      <c r="C8" s="165"/>
      <c r="D8" s="165"/>
      <c r="E8" s="147"/>
      <c r="F8" s="147"/>
      <c r="G8" s="147"/>
      <c r="H8" s="155" t="s">
        <v>37</v>
      </c>
      <c r="I8" s="155"/>
      <c r="J8" s="162"/>
      <c r="K8" s="163">
        <f>'Portage Bill'!J63</f>
        <v>0</v>
      </c>
    </row>
    <row r="9" spans="1:11" s="14" customFormat="1" ht="15" customHeight="1" x14ac:dyDescent="0.4">
      <c r="A9" s="155" t="s">
        <v>38</v>
      </c>
      <c r="B9" s="166" t="str">
        <f>'Portage Bill'!D12</f>
        <v>Chief Engineer</v>
      </c>
      <c r="C9" s="165"/>
      <c r="D9" s="147"/>
      <c r="E9" s="147"/>
      <c r="F9" s="147"/>
      <c r="G9" s="147"/>
      <c r="H9" s="155" t="s">
        <v>39</v>
      </c>
      <c r="I9" s="155"/>
      <c r="J9" s="155"/>
      <c r="K9" s="147"/>
    </row>
    <row r="10" spans="1:11" s="14" customFormat="1" ht="15" customHeight="1" x14ac:dyDescent="0.4">
      <c r="A10" s="155" t="s">
        <v>40</v>
      </c>
      <c r="B10" s="167"/>
      <c r="C10" s="168"/>
      <c r="D10" s="147"/>
      <c r="E10" s="147"/>
      <c r="F10" s="147"/>
      <c r="G10" s="155" t="s">
        <v>41</v>
      </c>
      <c r="H10" s="169"/>
      <c r="I10" s="155" t="s">
        <v>42</v>
      </c>
      <c r="J10" s="316"/>
      <c r="K10" s="171"/>
    </row>
    <row r="11" spans="1:11" s="14" customFormat="1" ht="15" customHeight="1" x14ac:dyDescent="0.4">
      <c r="A11" s="155"/>
      <c r="B11" s="334"/>
      <c r="C11" s="335"/>
      <c r="D11" s="147"/>
      <c r="E11" s="147"/>
      <c r="F11" s="147"/>
      <c r="G11" s="155"/>
      <c r="H11" s="336"/>
      <c r="I11" s="155"/>
      <c r="J11" s="316"/>
      <c r="K11" s="337"/>
    </row>
    <row r="12" spans="1:11" s="14" customFormat="1" ht="15" customHeight="1" x14ac:dyDescent="0.4">
      <c r="A12" s="344" t="s">
        <v>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</row>
    <row r="13" spans="1:11" s="14" customFormat="1" ht="15" customHeight="1" x14ac:dyDescent="0.4">
      <c r="A13" s="346" t="s">
        <v>44</v>
      </c>
      <c r="B13" s="338"/>
      <c r="C13" s="175">
        <f>'Portage Bill'!G2</f>
        <v>41365</v>
      </c>
      <c r="D13" s="347" t="s">
        <v>45</v>
      </c>
      <c r="E13" s="175">
        <f>'Portage Bill'!K2</f>
        <v>41394</v>
      </c>
      <c r="F13" s="348" t="s">
        <v>46</v>
      </c>
      <c r="G13" s="177" t="s">
        <v>114</v>
      </c>
      <c r="H13" s="347" t="s">
        <v>47</v>
      </c>
      <c r="I13" s="178">
        <f>'Portage Bill'!F12</f>
        <v>0</v>
      </c>
      <c r="J13" s="347" t="s">
        <v>43</v>
      </c>
      <c r="K13" s="163">
        <f>'Portage Bill'!G12</f>
        <v>0</v>
      </c>
    </row>
    <row r="14" spans="1:11" s="14" customFormat="1" ht="15" customHeight="1" x14ac:dyDescent="0.4">
      <c r="A14" s="349" t="s">
        <v>140</v>
      </c>
      <c r="B14" s="350"/>
      <c r="C14" s="43"/>
      <c r="D14" s="43"/>
      <c r="E14" s="43"/>
      <c r="F14" s="351"/>
      <c r="G14" s="8"/>
      <c r="H14" s="43"/>
      <c r="I14" s="352"/>
      <c r="J14" s="353"/>
      <c r="K14" s="49">
        <f>'Portage Bill'!I12</f>
        <v>0</v>
      </c>
    </row>
    <row r="15" spans="1:11" s="14" customFormat="1" ht="15" customHeight="1" x14ac:dyDescent="0.4">
      <c r="A15" s="349" t="s">
        <v>48</v>
      </c>
      <c r="B15" s="83"/>
      <c r="C15" s="43"/>
      <c r="D15" s="43"/>
      <c r="E15" s="43"/>
      <c r="F15" s="43"/>
      <c r="G15" s="43"/>
      <c r="H15" s="43"/>
      <c r="I15" s="43"/>
      <c r="J15" s="8"/>
      <c r="K15" s="49">
        <f>'Portage Bill'!N12</f>
        <v>0</v>
      </c>
    </row>
    <row r="16" spans="1:11" s="14" customFormat="1" ht="15" customHeight="1" x14ac:dyDescent="0.4">
      <c r="A16" s="349" t="s">
        <v>49</v>
      </c>
      <c r="B16" s="84"/>
      <c r="C16" s="46" t="s">
        <v>18</v>
      </c>
      <c r="D16" s="43"/>
      <c r="E16" s="43"/>
      <c r="F16" s="43"/>
      <c r="G16" s="43"/>
      <c r="H16" s="43"/>
      <c r="I16" s="43"/>
      <c r="J16" s="8"/>
      <c r="K16" s="49">
        <f>'Portage Bill'!O12</f>
        <v>0</v>
      </c>
    </row>
    <row r="17" spans="1:13" ht="15" customHeight="1" x14ac:dyDescent="0.4">
      <c r="A17" s="349" t="s">
        <v>50</v>
      </c>
      <c r="B17" s="81"/>
      <c r="C17" s="274" t="str">
        <f>'Portage Bill'!L5</f>
        <v>Travelling</v>
      </c>
      <c r="D17" s="43"/>
      <c r="E17" s="43"/>
      <c r="F17" s="43"/>
      <c r="G17" s="43"/>
      <c r="H17" s="43"/>
      <c r="I17" s="43"/>
      <c r="J17" s="8"/>
      <c r="K17" s="49">
        <f>'Portage Bill'!L12</f>
        <v>0</v>
      </c>
    </row>
    <row r="18" spans="1:13" ht="15" customHeight="1" x14ac:dyDescent="0.4">
      <c r="A18" s="351" t="s">
        <v>50</v>
      </c>
      <c r="B18" s="43"/>
      <c r="C18" s="81" t="str">
        <f>'Portage Bill'!J6</f>
        <v>FIDELITY</v>
      </c>
      <c r="D18" s="43"/>
      <c r="E18" s="43"/>
      <c r="F18" s="43"/>
      <c r="G18" s="43"/>
      <c r="H18" s="43"/>
      <c r="I18" s="43"/>
      <c r="J18" s="8"/>
      <c r="K18" s="49">
        <f>'Portage Bill'!J12</f>
        <v>0</v>
      </c>
    </row>
    <row r="19" spans="1:13" ht="15" customHeight="1" x14ac:dyDescent="0.4">
      <c r="A19" s="351" t="s">
        <v>50</v>
      </c>
      <c r="B19" s="43"/>
      <c r="C19" s="82" t="str">
        <f>'Portage Bill'!K5</f>
        <v>ALLOWANCE</v>
      </c>
      <c r="D19" s="43"/>
      <c r="E19" s="43"/>
      <c r="F19" s="43"/>
      <c r="G19" s="43"/>
      <c r="H19" s="43"/>
      <c r="I19" s="43"/>
      <c r="J19" s="8"/>
      <c r="K19" s="50">
        <f>'Portage Bill'!K12</f>
        <v>0</v>
      </c>
    </row>
    <row r="20" spans="1:13" ht="15" customHeight="1" x14ac:dyDescent="0.45">
      <c r="A20" s="354" t="s">
        <v>50</v>
      </c>
      <c r="B20" s="44"/>
      <c r="C20" s="280" t="str">
        <f>'Portage Bill'!P6</f>
        <v>Bonus &amp; Extras</v>
      </c>
      <c r="D20" s="69"/>
      <c r="E20" s="67"/>
      <c r="F20" s="44"/>
      <c r="G20" s="44"/>
      <c r="H20" s="44"/>
      <c r="I20" s="44"/>
      <c r="J20" s="44"/>
      <c r="K20" s="355">
        <f>'Portage Bill'!P12</f>
        <v>0</v>
      </c>
    </row>
    <row r="21" spans="1:13" ht="15" customHeight="1" x14ac:dyDescent="0.4">
      <c r="A21" s="42"/>
      <c r="B21" s="42"/>
      <c r="C21" s="42"/>
      <c r="D21" s="42"/>
      <c r="E21" s="42"/>
      <c r="F21" s="42"/>
      <c r="H21" s="51" t="s">
        <v>51</v>
      </c>
      <c r="I21" s="42"/>
      <c r="J21" s="42"/>
      <c r="K21" s="52">
        <f>SUM(K12:K20)</f>
        <v>0</v>
      </c>
    </row>
    <row r="22" spans="1:13" ht="15" customHeight="1" x14ac:dyDescent="0.4">
      <c r="A22" s="42"/>
      <c r="B22" s="42"/>
      <c r="C22" s="42"/>
      <c r="D22" s="42"/>
      <c r="E22" s="42"/>
      <c r="F22" s="42"/>
      <c r="H22" s="51"/>
      <c r="I22" s="42"/>
      <c r="J22" s="42"/>
      <c r="K22" s="52"/>
    </row>
    <row r="23" spans="1:13" ht="15" customHeight="1" x14ac:dyDescent="0.4">
      <c r="A23" s="339" t="s">
        <v>135</v>
      </c>
      <c r="B23" s="340"/>
      <c r="C23" s="340"/>
      <c r="D23" s="340"/>
      <c r="E23" s="340"/>
      <c r="F23" s="340"/>
      <c r="G23" s="341"/>
      <c r="H23" s="342"/>
      <c r="I23" s="340"/>
      <c r="J23" s="340"/>
      <c r="K23" s="356">
        <f>'Portage Bill'!AB12</f>
        <v>0</v>
      </c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339" t="s">
        <v>138</v>
      </c>
      <c r="B25" s="340"/>
      <c r="C25" s="340"/>
      <c r="D25" s="340"/>
      <c r="E25" s="340"/>
      <c r="F25" s="340"/>
      <c r="G25" s="341"/>
      <c r="H25" s="342"/>
      <c r="I25" s="340"/>
      <c r="J25" s="340"/>
      <c r="K25" s="356">
        <f>'Portage Bill'!AC12</f>
        <v>0</v>
      </c>
    </row>
    <row r="26" spans="1:13" ht="15" customHeight="1" x14ac:dyDescent="0.4">
      <c r="A26" s="363"/>
      <c r="B26" s="8"/>
      <c r="C26" s="8"/>
      <c r="D26" s="8"/>
      <c r="E26" s="8"/>
      <c r="F26" s="8"/>
      <c r="G26" s="1"/>
      <c r="H26" s="364"/>
      <c r="I26" s="8"/>
      <c r="J26" s="8"/>
      <c r="K26" s="365"/>
    </row>
    <row r="27" spans="1:13" ht="15" customHeight="1" x14ac:dyDescent="0.4">
      <c r="A27" s="339"/>
      <c r="B27" s="340"/>
      <c r="C27" s="340"/>
      <c r="D27" s="340"/>
      <c r="E27" s="340"/>
      <c r="F27" s="340"/>
      <c r="G27" s="342" t="s">
        <v>139</v>
      </c>
      <c r="H27" s="342"/>
      <c r="I27" s="340"/>
      <c r="J27" s="340"/>
      <c r="K27" s="356">
        <f>SUM(K21:K26)</f>
        <v>0</v>
      </c>
      <c r="M27" s="42"/>
    </row>
    <row r="28" spans="1:13" ht="15" customHeight="1" x14ac:dyDescent="0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357" t="s">
        <v>52</v>
      </c>
      <c r="B29" s="358"/>
      <c r="C29" s="358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88" t="str">
        <f>'Portage Bill'!X7</f>
        <v>Telecon</v>
      </c>
      <c r="B30" s="8"/>
      <c r="C30" s="62">
        <f>'Portage Bill'!X12</f>
        <v>0</v>
      </c>
      <c r="D30" s="42"/>
      <c r="E30" s="42"/>
      <c r="F30" s="42"/>
      <c r="G30" s="42"/>
      <c r="H30" s="42"/>
      <c r="I30" s="42"/>
      <c r="J30" s="42"/>
      <c r="K30" s="62"/>
      <c r="M30" s="42"/>
    </row>
    <row r="31" spans="1:13" ht="15" customHeight="1" x14ac:dyDescent="0.4">
      <c r="A31" s="351" t="s">
        <v>53</v>
      </c>
      <c r="B31" s="8"/>
      <c r="C31" s="62">
        <f>'Portage Bill'!W12</f>
        <v>0</v>
      </c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351" t="s">
        <v>54</v>
      </c>
      <c r="B32" s="8"/>
      <c r="C32" s="62">
        <f>'Portage Bill'!U12</f>
        <v>0</v>
      </c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351" t="s">
        <v>54</v>
      </c>
      <c r="B33" s="8"/>
      <c r="C33" s="62">
        <f>'Portage Bill'!V12</f>
        <v>0</v>
      </c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351" t="s">
        <v>98</v>
      </c>
      <c r="B34" s="8"/>
      <c r="C34" s="62">
        <f>'Portage Bill'!T12</f>
        <v>0</v>
      </c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351" t="s">
        <v>92</v>
      </c>
      <c r="B35" s="8"/>
      <c r="C35" s="62">
        <f>'Portage Bill'!Y12</f>
        <v>0</v>
      </c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351" t="str">
        <f>'Portage Bill'!R7</f>
        <v>***Leave pay</v>
      </c>
      <c r="B36" s="8"/>
      <c r="C36" s="343">
        <f>'Portage Bill'!R12</f>
        <v>0</v>
      </c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351" t="s">
        <v>55</v>
      </c>
      <c r="B37" s="8"/>
      <c r="C37" s="43"/>
      <c r="D37" s="42"/>
      <c r="E37" s="42"/>
      <c r="F37" s="42"/>
      <c r="G37" s="42"/>
      <c r="H37" s="42"/>
      <c r="I37" s="42"/>
      <c r="J37" s="42"/>
      <c r="K37" s="42"/>
    </row>
    <row r="38" spans="1:13" ht="16.5" customHeight="1" x14ac:dyDescent="0.4">
      <c r="A38" s="359" t="str">
        <f>'deduct list'!W9</f>
        <v>Accumulated Leave pay</v>
      </c>
      <c r="B38" s="44"/>
      <c r="C38" s="44"/>
      <c r="D38" s="42"/>
      <c r="E38" s="294">
        <f>'deduct list'!W14</f>
        <v>0</v>
      </c>
      <c r="F38" s="42"/>
      <c r="G38" s="42"/>
      <c r="H38" s="45"/>
      <c r="I38" s="42"/>
      <c r="J38" s="42"/>
      <c r="K38" s="50"/>
    </row>
    <row r="39" spans="1:13" ht="15" customHeight="1" x14ac:dyDescent="0.4">
      <c r="A39" s="369" t="s">
        <v>56</v>
      </c>
      <c r="B39" s="18"/>
      <c r="C39" s="371">
        <f>SUM(C30:C38)</f>
        <v>0</v>
      </c>
      <c r="D39" s="147"/>
      <c r="E39" s="147"/>
      <c r="F39" s="147"/>
      <c r="G39" s="179"/>
      <c r="H39" s="179"/>
      <c r="I39" s="179"/>
      <c r="J39" s="179"/>
      <c r="K39" s="360"/>
    </row>
    <row r="40" spans="1:13" ht="15" customHeight="1" x14ac:dyDescent="0.45">
      <c r="A40" s="48"/>
      <c r="B40" s="42"/>
      <c r="C40" s="62"/>
      <c r="D40" s="147"/>
      <c r="E40" s="147"/>
      <c r="F40" s="147"/>
      <c r="G40" s="147"/>
      <c r="H40" s="367" t="s">
        <v>136</v>
      </c>
      <c r="I40" s="75"/>
      <c r="J40" s="75"/>
      <c r="K40" s="370">
        <f>'Portage Bill'!S12</f>
        <v>0</v>
      </c>
    </row>
    <row r="41" spans="1:13" ht="15" customHeight="1" x14ac:dyDescent="0.45">
      <c r="A41" s="48"/>
      <c r="B41" s="42"/>
      <c r="C41" s="368"/>
      <c r="D41" s="147"/>
      <c r="E41" s="147"/>
      <c r="F41" s="147"/>
      <c r="G41" s="147"/>
      <c r="H41" s="367"/>
      <c r="I41" s="75"/>
      <c r="J41" s="75"/>
      <c r="K41" s="361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366" t="s">
        <v>137</v>
      </c>
      <c r="I42" s="362"/>
      <c r="J42" s="75"/>
      <c r="K42" s="366">
        <f>'Portage Bill'!AD12</f>
        <v>0</v>
      </c>
      <c r="L42" s="14"/>
    </row>
    <row r="43" spans="1:13" ht="22.5" customHeight="1" x14ac:dyDescent="0.4">
      <c r="A43" s="155" t="s">
        <v>57</v>
      </c>
      <c r="B43" s="147"/>
      <c r="C43" s="165"/>
      <c r="D43" s="165"/>
      <c r="E43" s="208"/>
      <c r="F43" s="179" t="s">
        <v>58</v>
      </c>
      <c r="G43" s="154"/>
      <c r="H43" s="208"/>
      <c r="I43" s="165"/>
      <c r="J43" s="165"/>
      <c r="K43" s="165"/>
      <c r="L43" s="14"/>
    </row>
    <row r="44" spans="1:13" ht="15" customHeight="1" x14ac:dyDescent="0.4">
      <c r="A44" s="155" t="s">
        <v>59</v>
      </c>
      <c r="B44" s="14"/>
      <c r="C44" s="209"/>
      <c r="D44" s="209"/>
      <c r="E44" s="209"/>
      <c r="F44" s="209"/>
      <c r="G44" s="209"/>
      <c r="H44" s="209"/>
      <c r="I44" s="209"/>
      <c r="J44" s="209"/>
      <c r="K44" s="209"/>
      <c r="L44" s="14"/>
    </row>
    <row r="45" spans="1:13" ht="15" customHeight="1" x14ac:dyDescent="0.4">
      <c r="A45" s="155" t="s">
        <v>60</v>
      </c>
      <c r="B45" s="14"/>
      <c r="C45" s="14"/>
      <c r="D45" s="14"/>
      <c r="E45" s="210"/>
      <c r="F45" s="209"/>
      <c r="G45" s="209"/>
      <c r="H45" s="209"/>
      <c r="I45" s="209"/>
      <c r="J45" s="209"/>
      <c r="K45" s="209"/>
      <c r="L45" s="14"/>
    </row>
    <row r="46" spans="1:13" ht="15" customHeight="1" x14ac:dyDescent="0.4">
      <c r="A46" s="155" t="s">
        <v>61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3" ht="21" customHeight="1" x14ac:dyDescent="0.4">
      <c r="A47" s="211" t="s">
        <v>106</v>
      </c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 t="s">
        <v>62</v>
      </c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2" ht="15" customHeight="1" x14ac:dyDescent="0.4">
      <c r="A49" s="147"/>
      <c r="B49" s="14"/>
      <c r="C49" s="14"/>
      <c r="D49" s="14"/>
      <c r="E49" s="179" t="s">
        <v>30</v>
      </c>
      <c r="F49" s="214"/>
      <c r="G49" s="233">
        <f>'Portage Bill'!K2</f>
        <v>41394</v>
      </c>
      <c r="H49" s="14"/>
      <c r="I49" s="14"/>
      <c r="J49" s="14"/>
      <c r="K49" s="14"/>
      <c r="L49" s="14"/>
    </row>
    <row r="50" spans="1:12" ht="24" customHeight="1" x14ac:dyDescent="0.4">
      <c r="A50" s="43"/>
      <c r="B50" s="53"/>
      <c r="C50" s="53"/>
      <c r="D50" s="53"/>
      <c r="G50" s="1"/>
      <c r="H50" s="53"/>
      <c r="I50" s="53"/>
      <c r="J50" s="53"/>
      <c r="K50" s="53"/>
    </row>
    <row r="51" spans="1:12" ht="15" customHeight="1" x14ac:dyDescent="0.35">
      <c r="A51" s="58" t="s">
        <v>63</v>
      </c>
      <c r="B51" s="56"/>
      <c r="C51" s="56"/>
      <c r="D51" s="56"/>
      <c r="H51" s="59" t="s">
        <v>64</v>
      </c>
      <c r="I51" s="57"/>
      <c r="J51" s="57"/>
      <c r="K51" s="57"/>
    </row>
    <row r="52" spans="1:12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2" ht="17.100000000000001" customHeight="1" x14ac:dyDescent="0.35">
      <c r="J53" s="55" t="s">
        <v>65</v>
      </c>
    </row>
    <row r="54" spans="1:12" ht="17.100000000000001" customHeight="1" x14ac:dyDescent="0.35"/>
  </sheetData>
  <sheetProtection formatCells="0" formatColumns="0" formatRows="0"/>
  <phoneticPr fontId="14" type="noConversion"/>
  <pageMargins left="0.74803149606299202" right="0.35433070866141703" top="0.39370078740157499" bottom="0.39370078740157499" header="0.511811023622047" footer="0.511811023622047"/>
  <pageSetup paperSize="9" scale="90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54"/>
  <sheetViews>
    <sheetView view="pageLayout" topLeftCell="A21" zoomScaleNormal="96" workbookViewId="0">
      <selection activeCell="K4" sqref="K4"/>
    </sheetView>
  </sheetViews>
  <sheetFormatPr defaultColWidth="8.46484375" defaultRowHeight="12.75" x14ac:dyDescent="0.35"/>
  <cols>
    <col min="1" max="1" width="11.1328125" customWidth="1"/>
    <col min="2" max="2" width="10.33203125" customWidth="1"/>
    <col min="3" max="3" width="12.1328125" customWidth="1"/>
    <col min="4" max="4" width="4.1328125" customWidth="1"/>
    <col min="5" max="5" width="12.1328125" customWidth="1"/>
    <col min="6" max="6" width="3.33203125" customWidth="1"/>
    <col min="7" max="7" width="10.86328125" bestFit="1" customWidth="1"/>
    <col min="8" max="8" width="7.46484375" customWidth="1"/>
    <col min="10" max="10" width="5.6640625" customWidth="1"/>
    <col min="11" max="11" width="6.19921875" customWidth="1"/>
  </cols>
  <sheetData>
    <row r="1" spans="1:11" ht="13.15" x14ac:dyDescent="0.4">
      <c r="A1" s="147"/>
      <c r="B1" s="147"/>
      <c r="C1" s="147"/>
      <c r="D1" s="147"/>
      <c r="E1" s="147"/>
      <c r="F1" s="147"/>
      <c r="G1" s="147"/>
      <c r="H1" s="147"/>
      <c r="I1" s="148" t="s">
        <v>80</v>
      </c>
      <c r="J1" s="149" t="s">
        <v>82</v>
      </c>
      <c r="K1" s="150" t="s">
        <v>89</v>
      </c>
    </row>
    <row r="2" spans="1:11" ht="13.15" x14ac:dyDescent="0.4">
      <c r="A2" s="147"/>
      <c r="B2" s="147"/>
      <c r="C2" s="147"/>
      <c r="D2" s="147"/>
      <c r="E2" s="147"/>
      <c r="F2" s="147"/>
      <c r="G2" s="147"/>
      <c r="H2" s="147"/>
      <c r="I2" s="148" t="s">
        <v>81</v>
      </c>
      <c r="J2" s="149" t="s">
        <v>82</v>
      </c>
      <c r="K2" s="151" t="s">
        <v>83</v>
      </c>
    </row>
    <row r="3" spans="1:11" ht="19.899999999999999" x14ac:dyDescent="0.5">
      <c r="A3" s="147"/>
      <c r="B3" s="147"/>
      <c r="C3" s="147"/>
      <c r="D3" s="319" t="s">
        <v>32</v>
      </c>
      <c r="E3" s="147"/>
      <c r="F3" s="147"/>
      <c r="G3" s="147"/>
      <c r="H3" s="147"/>
      <c r="I3" s="153"/>
      <c r="J3" s="154"/>
      <c r="K3" s="154"/>
    </row>
    <row r="4" spans="1:11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</row>
    <row r="6" spans="1:11" ht="15" x14ac:dyDescent="0.4">
      <c r="A6" s="155" t="str">
        <f>'Portage Bill'!B3</f>
        <v xml:space="preserve">Vessel:     </v>
      </c>
      <c r="B6" s="156">
        <f>'Portage Bill'!C3</f>
        <v>0</v>
      </c>
      <c r="C6" s="157"/>
      <c r="D6" s="158"/>
      <c r="E6" s="159"/>
      <c r="F6" s="147"/>
      <c r="G6" s="147"/>
      <c r="H6" s="155" t="s">
        <v>33</v>
      </c>
      <c r="I6" s="155"/>
      <c r="J6" s="160" t="s">
        <v>34</v>
      </c>
      <c r="K6" s="161"/>
    </row>
    <row r="7" spans="1:11" ht="15" customHeight="1" x14ac:dyDescent="0.4">
      <c r="A7" s="147"/>
      <c r="B7" s="147"/>
      <c r="C7" s="147"/>
      <c r="D7" s="147"/>
      <c r="E7" s="147"/>
      <c r="F7" s="147"/>
      <c r="G7" s="147"/>
      <c r="H7" s="155" t="s">
        <v>35</v>
      </c>
      <c r="I7" s="155"/>
      <c r="J7" s="162"/>
      <c r="K7" s="163">
        <f>'Portage Bill'!F64</f>
        <v>0</v>
      </c>
    </row>
    <row r="8" spans="1:11" ht="15" customHeight="1" x14ac:dyDescent="0.4">
      <c r="A8" s="155" t="s">
        <v>36</v>
      </c>
      <c r="B8" s="164">
        <f>'Portage Bill'!B13</f>
        <v>0</v>
      </c>
      <c r="C8" s="165"/>
      <c r="D8" s="165"/>
      <c r="E8" s="147"/>
      <c r="F8" s="147"/>
      <c r="G8" s="147"/>
      <c r="H8" s="155" t="s">
        <v>37</v>
      </c>
      <c r="I8" s="155"/>
      <c r="J8" s="162"/>
      <c r="K8" s="163">
        <f>'Portage Bill'!J64</f>
        <v>0</v>
      </c>
    </row>
    <row r="9" spans="1:11" ht="15" customHeight="1" x14ac:dyDescent="0.4">
      <c r="A9" s="155" t="s">
        <v>38</v>
      </c>
      <c r="B9" s="166" t="str">
        <f>'Portage Bill'!D13</f>
        <v>2nd Engineer</v>
      </c>
      <c r="C9" s="165"/>
      <c r="D9" s="147"/>
      <c r="E9" s="147"/>
      <c r="F9" s="147"/>
      <c r="G9" s="147"/>
      <c r="H9" s="155" t="s">
        <v>39</v>
      </c>
      <c r="I9" s="155"/>
      <c r="J9" s="155"/>
      <c r="K9" s="147"/>
    </row>
    <row r="10" spans="1:11" ht="15" customHeight="1" x14ac:dyDescent="0.4">
      <c r="A10" s="155" t="s">
        <v>40</v>
      </c>
      <c r="B10" s="167"/>
      <c r="C10" s="168"/>
      <c r="D10" s="147"/>
      <c r="E10" s="147"/>
      <c r="F10" s="147"/>
      <c r="G10" s="155" t="s">
        <v>41</v>
      </c>
      <c r="H10" s="169"/>
      <c r="I10" s="155" t="s">
        <v>42</v>
      </c>
      <c r="J10" s="316"/>
      <c r="K10" s="171"/>
    </row>
    <row r="11" spans="1:11" ht="15" customHeight="1" x14ac:dyDescent="0.4">
      <c r="A11" s="155"/>
      <c r="B11" s="334"/>
      <c r="C11" s="335"/>
      <c r="D11" s="147"/>
      <c r="E11" s="147"/>
      <c r="F11" s="147"/>
      <c r="G11" s="155"/>
      <c r="H11" s="336"/>
      <c r="I11" s="155"/>
      <c r="J11" s="316"/>
      <c r="K11" s="337"/>
    </row>
    <row r="12" spans="1:11" ht="15" customHeight="1" x14ac:dyDescent="0.4">
      <c r="A12" s="344" t="s">
        <v>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</row>
    <row r="13" spans="1:11" ht="15" customHeight="1" x14ac:dyDescent="0.4">
      <c r="A13" s="346" t="s">
        <v>44</v>
      </c>
      <c r="B13" s="338"/>
      <c r="C13" s="175">
        <f>'Portage Bill'!G2</f>
        <v>41365</v>
      </c>
      <c r="D13" s="347" t="s">
        <v>45</v>
      </c>
      <c r="E13" s="175">
        <f>'Portage Bill'!K2</f>
        <v>41394</v>
      </c>
      <c r="F13" s="348" t="s">
        <v>46</v>
      </c>
      <c r="G13" s="177" t="s">
        <v>114</v>
      </c>
      <c r="H13" s="347" t="s">
        <v>47</v>
      </c>
      <c r="I13" s="178">
        <f>'Portage Bill'!F13</f>
        <v>0</v>
      </c>
      <c r="J13" s="347" t="s">
        <v>43</v>
      </c>
      <c r="K13" s="163">
        <f>'Portage Bill'!G13</f>
        <v>0</v>
      </c>
    </row>
    <row r="14" spans="1:11" ht="15" customHeight="1" x14ac:dyDescent="0.4">
      <c r="A14" s="349" t="s">
        <v>140</v>
      </c>
      <c r="B14" s="350"/>
      <c r="C14" s="43"/>
      <c r="D14" s="43"/>
      <c r="E14" s="43"/>
      <c r="F14" s="351"/>
      <c r="G14" s="8"/>
      <c r="H14" s="43"/>
      <c r="I14" s="352"/>
      <c r="J14" s="353"/>
      <c r="K14" s="49">
        <f>'Portage Bill'!I13</f>
        <v>0</v>
      </c>
    </row>
    <row r="15" spans="1:11" ht="15" customHeight="1" x14ac:dyDescent="0.4">
      <c r="A15" s="349" t="s">
        <v>48</v>
      </c>
      <c r="B15" s="83"/>
      <c r="C15" s="43"/>
      <c r="D15" s="43"/>
      <c r="E15" s="43"/>
      <c r="F15" s="43"/>
      <c r="G15" s="43"/>
      <c r="H15" s="43"/>
      <c r="I15" s="43"/>
      <c r="J15" s="8"/>
      <c r="K15" s="49">
        <f>'Portage Bill'!N13</f>
        <v>0</v>
      </c>
    </row>
    <row r="16" spans="1:11" ht="15" customHeight="1" x14ac:dyDescent="0.4">
      <c r="A16" s="349" t="s">
        <v>49</v>
      </c>
      <c r="B16" s="84"/>
      <c r="C16" s="46" t="s">
        <v>18</v>
      </c>
      <c r="D16" s="43"/>
      <c r="E16" s="43"/>
      <c r="F16" s="43"/>
      <c r="G16" s="43"/>
      <c r="H16" s="43"/>
      <c r="I16" s="43"/>
      <c r="J16" s="8"/>
      <c r="K16" s="49">
        <f>'Portage Bill'!O13</f>
        <v>0</v>
      </c>
    </row>
    <row r="17" spans="1:13" ht="15" customHeight="1" x14ac:dyDescent="0.4">
      <c r="A17" s="349" t="s">
        <v>50</v>
      </c>
      <c r="B17" s="81"/>
      <c r="C17" s="274" t="str">
        <f>'Portage Bill'!L5</f>
        <v>Travelling</v>
      </c>
      <c r="D17" s="43"/>
      <c r="E17" s="43"/>
      <c r="F17" s="43"/>
      <c r="G17" s="43"/>
      <c r="H17" s="43"/>
      <c r="I17" s="43"/>
      <c r="J17" s="8"/>
      <c r="K17" s="49">
        <f>'Portage Bill'!L13</f>
        <v>0</v>
      </c>
    </row>
    <row r="18" spans="1:13" ht="15" customHeight="1" x14ac:dyDescent="0.4">
      <c r="A18" s="351" t="s">
        <v>50</v>
      </c>
      <c r="B18" s="43"/>
      <c r="C18" s="81" t="str">
        <f>'Portage Bill'!J6</f>
        <v>FIDELITY</v>
      </c>
      <c r="D18" s="43"/>
      <c r="E18" s="43"/>
      <c r="F18" s="43"/>
      <c r="G18" s="43"/>
      <c r="H18" s="43"/>
      <c r="I18" s="43"/>
      <c r="J18" s="8"/>
      <c r="K18" s="49">
        <f>'Portage Bill'!J13</f>
        <v>0</v>
      </c>
    </row>
    <row r="19" spans="1:13" ht="15" customHeight="1" x14ac:dyDescent="0.4">
      <c r="A19" s="351" t="s">
        <v>50</v>
      </c>
      <c r="B19" s="43"/>
      <c r="C19" s="82" t="str">
        <f>'Portage Bill'!K5</f>
        <v>ALLOWANCE</v>
      </c>
      <c r="D19" s="43"/>
      <c r="E19" s="43"/>
      <c r="F19" s="43"/>
      <c r="G19" s="43"/>
      <c r="H19" s="43"/>
      <c r="I19" s="43"/>
      <c r="J19" s="8"/>
      <c r="K19" s="50">
        <f>'Portage Bill'!K13</f>
        <v>0</v>
      </c>
    </row>
    <row r="20" spans="1:13" ht="15" customHeight="1" x14ac:dyDescent="0.45">
      <c r="A20" s="354" t="s">
        <v>50</v>
      </c>
      <c r="B20" s="44"/>
      <c r="C20" s="280" t="str">
        <f>'Portage Bill'!P6</f>
        <v>Bonus &amp; Extras</v>
      </c>
      <c r="D20" s="69"/>
      <c r="E20" s="67"/>
      <c r="F20" s="44"/>
      <c r="G20" s="44"/>
      <c r="H20" s="44"/>
      <c r="I20" s="44"/>
      <c r="J20" s="44"/>
      <c r="K20" s="355">
        <f>'Portage Bill'!P13</f>
        <v>0</v>
      </c>
    </row>
    <row r="21" spans="1:13" ht="15" customHeight="1" x14ac:dyDescent="0.4">
      <c r="A21" s="42"/>
      <c r="B21" s="42"/>
      <c r="C21" s="42"/>
      <c r="D21" s="42"/>
      <c r="E21" s="42"/>
      <c r="F21" s="42"/>
      <c r="H21" s="51" t="s">
        <v>51</v>
      </c>
      <c r="I21" s="42"/>
      <c r="J21" s="42"/>
      <c r="K21" s="52">
        <f>SUM(K12:K20)</f>
        <v>0</v>
      </c>
    </row>
    <row r="22" spans="1:13" ht="15" customHeight="1" x14ac:dyDescent="0.4">
      <c r="A22" s="42"/>
      <c r="B22" s="42"/>
      <c r="C22" s="42"/>
      <c r="D22" s="42"/>
      <c r="E22" s="42"/>
      <c r="F22" s="42"/>
      <c r="H22" s="51"/>
      <c r="I22" s="42"/>
      <c r="J22" s="42"/>
      <c r="K22" s="52"/>
    </row>
    <row r="23" spans="1:13" ht="15" customHeight="1" x14ac:dyDescent="0.4">
      <c r="A23" s="339" t="s">
        <v>135</v>
      </c>
      <c r="B23" s="340"/>
      <c r="C23" s="340"/>
      <c r="D23" s="340"/>
      <c r="E23" s="340"/>
      <c r="F23" s="340"/>
      <c r="G23" s="341"/>
      <c r="H23" s="342"/>
      <c r="I23" s="340"/>
      <c r="J23" s="340"/>
      <c r="K23" s="356">
        <f>'Portage Bill'!AB13</f>
        <v>0</v>
      </c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339" t="s">
        <v>138</v>
      </c>
      <c r="B25" s="340"/>
      <c r="C25" s="340"/>
      <c r="D25" s="340"/>
      <c r="E25" s="340"/>
      <c r="F25" s="340"/>
      <c r="G25" s="341"/>
      <c r="H25" s="342"/>
      <c r="I25" s="340"/>
      <c r="J25" s="340"/>
      <c r="K25" s="356">
        <f>'Portage Bill'!AC13</f>
        <v>0</v>
      </c>
    </row>
    <row r="26" spans="1:13" ht="15" customHeight="1" x14ac:dyDescent="0.4">
      <c r="A26" s="363"/>
      <c r="B26" s="8"/>
      <c r="C26" s="8"/>
      <c r="D26" s="8"/>
      <c r="E26" s="8"/>
      <c r="F26" s="8"/>
      <c r="G26" s="1"/>
      <c r="H26" s="364"/>
      <c r="I26" s="8"/>
      <c r="J26" s="8"/>
      <c r="K26" s="365"/>
    </row>
    <row r="27" spans="1:13" ht="15" customHeight="1" x14ac:dyDescent="0.4">
      <c r="A27" s="339"/>
      <c r="B27" s="340"/>
      <c r="C27" s="340"/>
      <c r="D27" s="340"/>
      <c r="E27" s="340"/>
      <c r="F27" s="340"/>
      <c r="G27" s="342" t="s">
        <v>139</v>
      </c>
      <c r="H27" s="342"/>
      <c r="I27" s="340"/>
      <c r="J27" s="340"/>
      <c r="K27" s="356">
        <f>SUM(K21:K26)</f>
        <v>0</v>
      </c>
      <c r="M27" s="42"/>
    </row>
    <row r="28" spans="1:13" ht="15" customHeight="1" x14ac:dyDescent="0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357" t="s">
        <v>52</v>
      </c>
      <c r="B29" s="358"/>
      <c r="C29" s="358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88" t="str">
        <f>'Portage Bill'!X7</f>
        <v>Telecon</v>
      </c>
      <c r="B30" s="8"/>
      <c r="C30" s="62">
        <f>'Portage Bill'!X13</f>
        <v>0</v>
      </c>
      <c r="D30" s="42"/>
      <c r="E30" s="42"/>
      <c r="F30" s="42"/>
      <c r="G30" s="42"/>
      <c r="H30" s="42"/>
      <c r="I30" s="42"/>
      <c r="J30" s="42"/>
      <c r="K30" s="62"/>
      <c r="M30" s="42"/>
    </row>
    <row r="31" spans="1:13" ht="15" customHeight="1" x14ac:dyDescent="0.4">
      <c r="A31" s="351" t="s">
        <v>53</v>
      </c>
      <c r="B31" s="8"/>
      <c r="C31" s="62">
        <f>'Portage Bill'!W13</f>
        <v>0</v>
      </c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351" t="s">
        <v>54</v>
      </c>
      <c r="B32" s="8"/>
      <c r="C32" s="62">
        <f>'Portage Bill'!U13</f>
        <v>0</v>
      </c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351" t="s">
        <v>54</v>
      </c>
      <c r="B33" s="8"/>
      <c r="C33" s="62">
        <f>'Portage Bill'!V13</f>
        <v>0</v>
      </c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351" t="s">
        <v>98</v>
      </c>
      <c r="B34" s="8"/>
      <c r="C34" s="62">
        <f>'Portage Bill'!T13</f>
        <v>0</v>
      </c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351" t="s">
        <v>92</v>
      </c>
      <c r="B35" s="8"/>
      <c r="C35" s="62">
        <f>'Portage Bill'!Y13</f>
        <v>0</v>
      </c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351" t="str">
        <f>'Portage Bill'!R7</f>
        <v>***Leave pay</v>
      </c>
      <c r="B36" s="8"/>
      <c r="C36" s="343">
        <f>'Portage Bill'!R13</f>
        <v>0</v>
      </c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351" t="s">
        <v>55</v>
      </c>
      <c r="B37" s="8"/>
      <c r="C37" s="43"/>
      <c r="D37" s="42"/>
      <c r="E37" s="42"/>
      <c r="F37" s="42"/>
      <c r="G37" s="42"/>
      <c r="H37" s="42"/>
      <c r="I37" s="42"/>
      <c r="J37" s="42"/>
      <c r="K37" s="42"/>
    </row>
    <row r="38" spans="1:13" ht="20.25" customHeight="1" x14ac:dyDescent="0.4">
      <c r="A38" s="359" t="str">
        <f>'deduct list'!W9</f>
        <v>Accumulated Leave pay</v>
      </c>
      <c r="B38" s="44"/>
      <c r="C38" s="44"/>
      <c r="D38" s="42"/>
      <c r="E38" s="294">
        <f>'deduct list'!W15</f>
        <v>0</v>
      </c>
      <c r="F38" s="42"/>
      <c r="G38" s="42"/>
      <c r="H38" s="45"/>
      <c r="I38" s="42"/>
      <c r="J38" s="42"/>
      <c r="K38" s="50"/>
    </row>
    <row r="39" spans="1:13" ht="15" customHeight="1" x14ac:dyDescent="0.4">
      <c r="A39" s="369" t="s">
        <v>56</v>
      </c>
      <c r="B39" s="18"/>
      <c r="C39" s="371">
        <f>SUM(C30:C38)</f>
        <v>0</v>
      </c>
      <c r="D39" s="147"/>
      <c r="E39" s="147"/>
      <c r="F39" s="147"/>
      <c r="G39" s="179"/>
      <c r="H39" s="179"/>
      <c r="I39" s="179"/>
      <c r="J39" s="179"/>
      <c r="K39" s="360"/>
    </row>
    <row r="40" spans="1:13" ht="18.75" customHeight="1" x14ac:dyDescent="0.45">
      <c r="A40" s="48"/>
      <c r="B40" s="42"/>
      <c r="C40" s="62"/>
      <c r="D40" s="147"/>
      <c r="E40" s="147"/>
      <c r="F40" s="147"/>
      <c r="G40" s="147"/>
      <c r="H40" s="367" t="s">
        <v>136</v>
      </c>
      <c r="I40" s="75"/>
      <c r="J40" s="75"/>
      <c r="K40" s="370">
        <f>'Portage Bill'!S13</f>
        <v>0</v>
      </c>
    </row>
    <row r="41" spans="1:13" ht="15" customHeight="1" x14ac:dyDescent="0.45">
      <c r="A41" s="48"/>
      <c r="B41" s="42"/>
      <c r="C41" s="368"/>
      <c r="D41" s="147"/>
      <c r="E41" s="147"/>
      <c r="F41" s="147"/>
      <c r="G41" s="147"/>
      <c r="H41" s="367"/>
      <c r="I41" s="75"/>
      <c r="J41" s="75"/>
      <c r="K41" s="361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366" t="s">
        <v>137</v>
      </c>
      <c r="I42" s="362"/>
      <c r="J42" s="75"/>
      <c r="K42" s="366">
        <f>'Portage Bill'!AD13</f>
        <v>0</v>
      </c>
    </row>
    <row r="43" spans="1:13" ht="22.5" customHeight="1" x14ac:dyDescent="0.4">
      <c r="A43" s="155" t="s">
        <v>57</v>
      </c>
      <c r="B43" s="147"/>
      <c r="C43" s="165"/>
      <c r="D43" s="165"/>
      <c r="E43" s="208"/>
      <c r="F43" s="179" t="s">
        <v>58</v>
      </c>
      <c r="G43" s="154"/>
      <c r="H43" s="208"/>
      <c r="I43" s="165"/>
      <c r="J43" s="165"/>
      <c r="K43" s="165"/>
    </row>
    <row r="44" spans="1:13" ht="15" customHeight="1" x14ac:dyDescent="0.4">
      <c r="A44" s="155" t="s">
        <v>59</v>
      </c>
      <c r="B44" s="14"/>
      <c r="C44" s="209"/>
      <c r="D44" s="209"/>
      <c r="E44" s="209"/>
      <c r="F44" s="209"/>
      <c r="G44" s="209"/>
      <c r="H44" s="209"/>
      <c r="I44" s="209"/>
      <c r="J44" s="209"/>
      <c r="K44" s="209"/>
    </row>
    <row r="45" spans="1:13" ht="15" customHeight="1" x14ac:dyDescent="0.4">
      <c r="A45" s="155" t="s">
        <v>60</v>
      </c>
      <c r="B45" s="14"/>
      <c r="C45" s="14"/>
      <c r="D45" s="14"/>
      <c r="E45" s="210"/>
      <c r="F45" s="209"/>
      <c r="G45" s="209"/>
      <c r="H45" s="209"/>
      <c r="I45" s="209"/>
      <c r="J45" s="209"/>
      <c r="K45" s="209"/>
    </row>
    <row r="46" spans="1:13" ht="15" customHeight="1" x14ac:dyDescent="0.4">
      <c r="A46" s="155" t="s">
        <v>61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3" ht="21" customHeight="1" x14ac:dyDescent="0.4">
      <c r="A47" s="211" t="s">
        <v>106</v>
      </c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 t="s">
        <v>62</v>
      </c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1" ht="15" customHeight="1" x14ac:dyDescent="0.4">
      <c r="A49" s="147"/>
      <c r="B49" s="14"/>
      <c r="C49" s="14"/>
      <c r="D49" s="14"/>
      <c r="E49" s="179" t="s">
        <v>30</v>
      </c>
      <c r="F49" s="214"/>
      <c r="G49" s="233">
        <f>'Portage Bill'!K2</f>
        <v>41394</v>
      </c>
      <c r="H49" s="14"/>
      <c r="I49" s="14"/>
      <c r="J49" s="14"/>
      <c r="K49" s="14"/>
    </row>
    <row r="50" spans="1:11" ht="24" customHeight="1" x14ac:dyDescent="0.4">
      <c r="A50" s="43"/>
      <c r="B50" s="53"/>
      <c r="C50" s="53"/>
      <c r="D50" s="53"/>
      <c r="G50" s="1"/>
      <c r="H50" s="53"/>
      <c r="I50" s="53"/>
      <c r="J50" s="53"/>
      <c r="K50" s="53"/>
    </row>
    <row r="51" spans="1:11" ht="15" customHeight="1" x14ac:dyDescent="0.35">
      <c r="A51" s="58" t="s">
        <v>63</v>
      </c>
      <c r="B51" s="56"/>
      <c r="C51" s="56"/>
      <c r="D51" s="56"/>
      <c r="H51" s="59" t="s">
        <v>64</v>
      </c>
      <c r="I51" s="57"/>
      <c r="J51" s="57"/>
      <c r="K51" s="57"/>
    </row>
    <row r="52" spans="1:11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1" ht="17.100000000000001" customHeight="1" x14ac:dyDescent="0.35">
      <c r="J53" s="55" t="s">
        <v>65</v>
      </c>
    </row>
    <row r="54" spans="1:11" ht="17.100000000000001" customHeight="1" x14ac:dyDescent="0.35"/>
  </sheetData>
  <sheetProtection formatCells="0" formatColumns="0" formatRows="0"/>
  <phoneticPr fontId="14" type="noConversion"/>
  <pageMargins left="0.52249999999999996" right="0.16625000000000001" top="0.39370078740157499" bottom="0.39370078740157499" header="0.511811023622047" footer="0.511811023622047"/>
  <pageSetup paperSize="9" scale="95" orientation="portrait" horizontalDpi="4294967295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M54"/>
  <sheetViews>
    <sheetView view="pageLayout" zoomScaleNormal="106" workbookViewId="0">
      <selection activeCell="D8" sqref="D8"/>
    </sheetView>
  </sheetViews>
  <sheetFormatPr defaultRowHeight="12.75" x14ac:dyDescent="0.35"/>
  <cols>
    <col min="1" max="1" width="12" customWidth="1"/>
    <col min="2" max="2" width="11.1328125" customWidth="1"/>
    <col min="3" max="3" width="12.1328125" customWidth="1"/>
    <col min="4" max="4" width="4.1328125" customWidth="1"/>
    <col min="5" max="5" width="11.1328125" customWidth="1"/>
    <col min="6" max="6" width="3.33203125" customWidth="1"/>
    <col min="7" max="7" width="11" customWidth="1"/>
    <col min="8" max="8" width="7.46484375" customWidth="1"/>
    <col min="10" max="10" width="5.6640625" customWidth="1"/>
    <col min="11" max="11" width="9.1328125" customWidth="1"/>
  </cols>
  <sheetData>
    <row r="1" spans="1:11" ht="13.15" x14ac:dyDescent="0.4">
      <c r="A1" s="147"/>
      <c r="B1" s="147"/>
      <c r="C1" s="147"/>
      <c r="D1" s="147"/>
      <c r="E1" s="147"/>
      <c r="F1" s="147"/>
      <c r="G1" s="147"/>
      <c r="H1" s="147"/>
      <c r="I1" s="148" t="s">
        <v>80</v>
      </c>
      <c r="J1" s="149" t="s">
        <v>82</v>
      </c>
      <c r="K1" s="150" t="s">
        <v>89</v>
      </c>
    </row>
    <row r="2" spans="1:11" ht="13.15" x14ac:dyDescent="0.4">
      <c r="A2" s="147"/>
      <c r="B2" s="147"/>
      <c r="C2" s="147"/>
      <c r="D2" s="147"/>
      <c r="E2" s="147"/>
      <c r="F2" s="147"/>
      <c r="G2" s="147"/>
      <c r="H2" s="147"/>
      <c r="I2" s="148" t="s">
        <v>81</v>
      </c>
      <c r="J2" s="149" t="s">
        <v>82</v>
      </c>
      <c r="K2" s="151" t="s">
        <v>83</v>
      </c>
    </row>
    <row r="3" spans="1:11" ht="19.899999999999999" x14ac:dyDescent="0.5">
      <c r="A3" s="147"/>
      <c r="B3" s="147"/>
      <c r="C3" s="147"/>
      <c r="D3" s="319" t="s">
        <v>32</v>
      </c>
      <c r="E3" s="147"/>
      <c r="F3" s="147"/>
      <c r="G3" s="147"/>
      <c r="H3" s="147"/>
      <c r="I3" s="153"/>
      <c r="J3" s="154"/>
      <c r="K3" s="154"/>
    </row>
    <row r="4" spans="1:11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</row>
    <row r="6" spans="1:11" ht="15" x14ac:dyDescent="0.4">
      <c r="A6" s="155" t="str">
        <f>'Portage Bill'!B3</f>
        <v xml:space="preserve">Vessel:     </v>
      </c>
      <c r="B6" s="156">
        <f>'Portage Bill'!C3</f>
        <v>0</v>
      </c>
      <c r="C6" s="157"/>
      <c r="D6" s="158"/>
      <c r="E6" s="159"/>
      <c r="F6" s="147"/>
      <c r="G6" s="147"/>
      <c r="H6" s="155" t="s">
        <v>33</v>
      </c>
      <c r="I6" s="155"/>
      <c r="J6" s="160" t="s">
        <v>34</v>
      </c>
      <c r="K6" s="161"/>
    </row>
    <row r="7" spans="1:11" ht="15" customHeight="1" x14ac:dyDescent="0.4">
      <c r="A7" s="147"/>
      <c r="B7" s="147"/>
      <c r="C7" s="147"/>
      <c r="D7" s="147"/>
      <c r="E7" s="147"/>
      <c r="F7" s="147"/>
      <c r="G7" s="147"/>
      <c r="H7" s="155" t="s">
        <v>35</v>
      </c>
      <c r="I7" s="155"/>
      <c r="J7" s="162"/>
      <c r="K7" s="163">
        <f>'Portage Bill'!F65</f>
        <v>0</v>
      </c>
    </row>
    <row r="8" spans="1:11" ht="15" customHeight="1" x14ac:dyDescent="0.4">
      <c r="A8" s="155" t="s">
        <v>36</v>
      </c>
      <c r="B8" s="164">
        <f>'Portage Bill'!B14</f>
        <v>0</v>
      </c>
      <c r="C8" s="165"/>
      <c r="D8" s="165"/>
      <c r="E8" s="147"/>
      <c r="F8" s="147"/>
      <c r="G8" s="147"/>
      <c r="H8" s="155" t="s">
        <v>37</v>
      </c>
      <c r="I8" s="155"/>
      <c r="J8" s="162"/>
      <c r="K8" s="163">
        <f>'Portage Bill'!J65</f>
        <v>0</v>
      </c>
    </row>
    <row r="9" spans="1:11" ht="15" customHeight="1" x14ac:dyDescent="0.4">
      <c r="A9" s="155" t="s">
        <v>38</v>
      </c>
      <c r="B9" s="166" t="str">
        <f>'Portage Bill'!D14</f>
        <v>3d Engineer</v>
      </c>
      <c r="C9" s="165"/>
      <c r="D9" s="147"/>
      <c r="E9" s="147"/>
      <c r="F9" s="147"/>
      <c r="G9" s="147"/>
      <c r="H9" s="155" t="s">
        <v>39</v>
      </c>
      <c r="I9" s="155"/>
      <c r="J9" s="155"/>
      <c r="K9" s="147"/>
    </row>
    <row r="10" spans="1:11" ht="15" customHeight="1" x14ac:dyDescent="0.4">
      <c r="A10" s="155" t="s">
        <v>40</v>
      </c>
      <c r="B10" s="167"/>
      <c r="C10" s="168"/>
      <c r="D10" s="147"/>
      <c r="E10" s="147"/>
      <c r="F10" s="147"/>
      <c r="G10" s="155" t="s">
        <v>41</v>
      </c>
      <c r="H10" s="169"/>
      <c r="I10" s="155" t="s">
        <v>42</v>
      </c>
      <c r="J10" s="316"/>
      <c r="K10" s="171"/>
    </row>
    <row r="11" spans="1:11" ht="15" customHeight="1" x14ac:dyDescent="0.4">
      <c r="A11" s="155"/>
      <c r="B11" s="334"/>
      <c r="C11" s="335"/>
      <c r="D11" s="147"/>
      <c r="E11" s="147"/>
      <c r="F11" s="147"/>
      <c r="G11" s="155"/>
      <c r="H11" s="336"/>
      <c r="I11" s="155"/>
      <c r="J11" s="316"/>
      <c r="K11" s="337"/>
    </row>
    <row r="12" spans="1:11" ht="15" customHeight="1" x14ac:dyDescent="0.4">
      <c r="A12" s="344" t="s">
        <v>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</row>
    <row r="13" spans="1:11" ht="15" customHeight="1" x14ac:dyDescent="0.4">
      <c r="A13" s="346" t="s">
        <v>44</v>
      </c>
      <c r="B13" s="338"/>
      <c r="C13" s="175">
        <f>'Portage Bill'!G2</f>
        <v>41365</v>
      </c>
      <c r="D13" s="347" t="s">
        <v>45</v>
      </c>
      <c r="E13" s="175">
        <f>'Portage Bill'!K2</f>
        <v>41394</v>
      </c>
      <c r="F13" s="348" t="s">
        <v>46</v>
      </c>
      <c r="G13" s="177" t="s">
        <v>114</v>
      </c>
      <c r="H13" s="347" t="s">
        <v>47</v>
      </c>
      <c r="I13" s="178">
        <f>'Portage Bill'!F14</f>
        <v>0</v>
      </c>
      <c r="J13" s="347" t="s">
        <v>43</v>
      </c>
      <c r="K13" s="163">
        <f>'Portage Bill'!G14</f>
        <v>0</v>
      </c>
    </row>
    <row r="14" spans="1:11" ht="15" customHeight="1" x14ac:dyDescent="0.4">
      <c r="A14" s="349" t="s">
        <v>140</v>
      </c>
      <c r="B14" s="350"/>
      <c r="C14" s="43"/>
      <c r="D14" s="43"/>
      <c r="E14" s="43"/>
      <c r="F14" s="351"/>
      <c r="G14" s="8"/>
      <c r="H14" s="43"/>
      <c r="I14" s="352"/>
      <c r="J14" s="353"/>
      <c r="K14" s="49">
        <f>'Portage Bill'!I14</f>
        <v>0</v>
      </c>
    </row>
    <row r="15" spans="1:11" ht="15" customHeight="1" x14ac:dyDescent="0.4">
      <c r="A15" s="349" t="s">
        <v>48</v>
      </c>
      <c r="B15" s="83"/>
      <c r="C15" s="43"/>
      <c r="D15" s="43"/>
      <c r="E15" s="43"/>
      <c r="F15" s="43"/>
      <c r="G15" s="43"/>
      <c r="H15" s="43"/>
      <c r="I15" s="43"/>
      <c r="J15" s="8"/>
      <c r="K15" s="49">
        <f>'Portage Bill'!N14</f>
        <v>0</v>
      </c>
    </row>
    <row r="16" spans="1:11" ht="15" customHeight="1" x14ac:dyDescent="0.4">
      <c r="A16" s="349" t="s">
        <v>49</v>
      </c>
      <c r="B16" s="84"/>
      <c r="C16" s="46" t="s">
        <v>18</v>
      </c>
      <c r="D16" s="43"/>
      <c r="E16" s="43"/>
      <c r="F16" s="43"/>
      <c r="G16" s="43"/>
      <c r="H16" s="43"/>
      <c r="I16" s="43"/>
      <c r="J16" s="8"/>
      <c r="K16" s="49">
        <f>'Portage Bill'!O14</f>
        <v>0</v>
      </c>
    </row>
    <row r="17" spans="1:13" ht="15" customHeight="1" x14ac:dyDescent="0.4">
      <c r="A17" s="349" t="s">
        <v>50</v>
      </c>
      <c r="B17" s="81"/>
      <c r="C17" s="274" t="str">
        <f>'Portage Bill'!L5</f>
        <v>Travelling</v>
      </c>
      <c r="D17" s="43"/>
      <c r="E17" s="43"/>
      <c r="F17" s="43"/>
      <c r="G17" s="43"/>
      <c r="H17" s="43"/>
      <c r="I17" s="43"/>
      <c r="J17" s="8"/>
      <c r="K17" s="49">
        <f>'Portage Bill'!L14</f>
        <v>0</v>
      </c>
    </row>
    <row r="18" spans="1:13" ht="15" customHeight="1" x14ac:dyDescent="0.4">
      <c r="A18" s="351" t="s">
        <v>50</v>
      </c>
      <c r="B18" s="43"/>
      <c r="C18" s="81" t="str">
        <f>'Portage Bill'!J6</f>
        <v>FIDELITY</v>
      </c>
      <c r="D18" s="43"/>
      <c r="E18" s="43"/>
      <c r="F18" s="43"/>
      <c r="G18" s="43"/>
      <c r="H18" s="43"/>
      <c r="I18" s="43"/>
      <c r="J18" s="8"/>
      <c r="K18" s="49">
        <f>'Portage Bill'!J14</f>
        <v>0</v>
      </c>
    </row>
    <row r="19" spans="1:13" ht="15" customHeight="1" x14ac:dyDescent="0.4">
      <c r="A19" s="351" t="s">
        <v>50</v>
      </c>
      <c r="B19" s="43"/>
      <c r="C19" s="82" t="str">
        <f>'Portage Bill'!K5</f>
        <v>ALLOWANCE</v>
      </c>
      <c r="D19" s="43"/>
      <c r="E19" s="43"/>
      <c r="F19" s="43"/>
      <c r="G19" s="43"/>
      <c r="H19" s="43"/>
      <c r="I19" s="43"/>
      <c r="J19" s="8"/>
      <c r="K19" s="50">
        <f>'Portage Bill'!K14</f>
        <v>0</v>
      </c>
    </row>
    <row r="20" spans="1:13" ht="15" customHeight="1" x14ac:dyDescent="0.45">
      <c r="A20" s="354" t="s">
        <v>50</v>
      </c>
      <c r="B20" s="44"/>
      <c r="C20" s="280" t="str">
        <f>'Portage Bill'!P6</f>
        <v>Bonus &amp; Extras</v>
      </c>
      <c r="D20" s="69"/>
      <c r="E20" s="67"/>
      <c r="F20" s="44"/>
      <c r="G20" s="44"/>
      <c r="H20" s="44"/>
      <c r="I20" s="44"/>
      <c r="J20" s="44"/>
      <c r="K20" s="355">
        <f>'Portage Bill'!P14</f>
        <v>0</v>
      </c>
    </row>
    <row r="21" spans="1:13" ht="15" customHeight="1" x14ac:dyDescent="0.4">
      <c r="A21" s="42"/>
      <c r="B21" s="42"/>
      <c r="C21" s="42"/>
      <c r="D21" s="42"/>
      <c r="E21" s="42"/>
      <c r="F21" s="42"/>
      <c r="H21" s="51" t="s">
        <v>51</v>
      </c>
      <c r="I21" s="42"/>
      <c r="J21" s="42"/>
      <c r="K21" s="52">
        <f>SUM(K12:K20)</f>
        <v>0</v>
      </c>
    </row>
    <row r="22" spans="1:13" ht="15" customHeight="1" x14ac:dyDescent="0.4">
      <c r="A22" s="42"/>
      <c r="B22" s="42"/>
      <c r="C22" s="42"/>
      <c r="D22" s="42"/>
      <c r="E22" s="42"/>
      <c r="F22" s="42"/>
      <c r="H22" s="51"/>
      <c r="I22" s="42"/>
      <c r="J22" s="42"/>
      <c r="K22" s="52"/>
    </row>
    <row r="23" spans="1:13" ht="15" customHeight="1" x14ac:dyDescent="0.4">
      <c r="A23" s="339" t="s">
        <v>135</v>
      </c>
      <c r="B23" s="340"/>
      <c r="C23" s="340"/>
      <c r="D23" s="340"/>
      <c r="E23" s="340"/>
      <c r="F23" s="340"/>
      <c r="G23" s="341"/>
      <c r="H23" s="342"/>
      <c r="I23" s="340"/>
      <c r="J23" s="340"/>
      <c r="K23" s="356">
        <f>'Portage Bill'!AB14</f>
        <v>0</v>
      </c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339" t="s">
        <v>138</v>
      </c>
      <c r="B25" s="340"/>
      <c r="C25" s="340"/>
      <c r="D25" s="340"/>
      <c r="E25" s="340"/>
      <c r="F25" s="340"/>
      <c r="G25" s="341"/>
      <c r="H25" s="342"/>
      <c r="I25" s="340"/>
      <c r="J25" s="340"/>
      <c r="K25" s="356">
        <f>'Portage Bill'!AC14</f>
        <v>0</v>
      </c>
    </row>
    <row r="26" spans="1:13" ht="15" customHeight="1" x14ac:dyDescent="0.4">
      <c r="A26" s="363"/>
      <c r="B26" s="8"/>
      <c r="C26" s="8"/>
      <c r="D26" s="8"/>
      <c r="E26" s="8"/>
      <c r="F26" s="8"/>
      <c r="G26" s="1"/>
      <c r="H26" s="364"/>
      <c r="I26" s="8"/>
      <c r="J26" s="8"/>
      <c r="K26" s="365"/>
    </row>
    <row r="27" spans="1:13" ht="15" customHeight="1" x14ac:dyDescent="0.4">
      <c r="A27" s="339"/>
      <c r="B27" s="340"/>
      <c r="C27" s="340"/>
      <c r="D27" s="340"/>
      <c r="E27" s="340"/>
      <c r="F27" s="340"/>
      <c r="G27" s="342" t="s">
        <v>139</v>
      </c>
      <c r="H27" s="342"/>
      <c r="I27" s="340"/>
      <c r="J27" s="340"/>
      <c r="K27" s="356">
        <f>SUM(K21:K26)</f>
        <v>0</v>
      </c>
      <c r="M27" s="42"/>
    </row>
    <row r="28" spans="1:13" ht="15" customHeight="1" x14ac:dyDescent="0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357" t="s">
        <v>52</v>
      </c>
      <c r="B29" s="358"/>
      <c r="C29" s="358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88" t="str">
        <f>'Portage Bill'!X7</f>
        <v>Telecon</v>
      </c>
      <c r="B30" s="8"/>
      <c r="C30" s="62">
        <f>'Portage Bill'!X14</f>
        <v>0</v>
      </c>
      <c r="D30" s="42"/>
      <c r="E30" s="42"/>
      <c r="F30" s="42"/>
      <c r="G30" s="42"/>
      <c r="H30" s="42"/>
      <c r="I30" s="42"/>
      <c r="J30" s="42"/>
      <c r="K30" s="62"/>
      <c r="M30" s="42"/>
    </row>
    <row r="31" spans="1:13" ht="15" customHeight="1" x14ac:dyDescent="0.4">
      <c r="A31" s="351" t="s">
        <v>53</v>
      </c>
      <c r="B31" s="8"/>
      <c r="C31" s="62">
        <f>'Portage Bill'!W14</f>
        <v>0</v>
      </c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351" t="s">
        <v>54</v>
      </c>
      <c r="B32" s="8"/>
      <c r="C32" s="62">
        <f>'Portage Bill'!U14</f>
        <v>0</v>
      </c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351" t="s">
        <v>54</v>
      </c>
      <c r="B33" s="8"/>
      <c r="C33" s="62">
        <f>'Portage Bill'!V14</f>
        <v>0</v>
      </c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351" t="s">
        <v>98</v>
      </c>
      <c r="B34" s="8"/>
      <c r="C34" s="62">
        <f>'Portage Bill'!T14</f>
        <v>0</v>
      </c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351" t="s">
        <v>92</v>
      </c>
      <c r="B35" s="8"/>
      <c r="C35" s="62">
        <f>'Portage Bill'!Y14</f>
        <v>0</v>
      </c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351" t="str">
        <f>'Portage Bill'!R7</f>
        <v>***Leave pay</v>
      </c>
      <c r="B36" s="8"/>
      <c r="C36" s="343">
        <f>'Portage Bill'!R14</f>
        <v>0</v>
      </c>
      <c r="D36" s="42"/>
      <c r="E36" s="42"/>
      <c r="F36" s="42"/>
      <c r="G36" s="42"/>
      <c r="H36" s="42"/>
      <c r="I36" s="42"/>
      <c r="J36" s="42"/>
      <c r="K36" s="42"/>
    </row>
    <row r="37" spans="1:13" ht="14.25" customHeight="1" x14ac:dyDescent="0.4">
      <c r="A37" s="351" t="s">
        <v>55</v>
      </c>
      <c r="B37" s="8"/>
      <c r="C37" s="43"/>
      <c r="D37" s="42"/>
      <c r="E37" s="42"/>
      <c r="F37" s="42"/>
      <c r="G37" s="42"/>
      <c r="H37" s="42"/>
      <c r="I37" s="42"/>
      <c r="J37" s="42"/>
      <c r="K37" s="42"/>
    </row>
    <row r="38" spans="1:13" ht="17.25" customHeight="1" x14ac:dyDescent="0.4">
      <c r="A38" s="359" t="str">
        <f>'deduct list'!W9</f>
        <v>Accumulated Leave pay</v>
      </c>
      <c r="B38" s="44"/>
      <c r="C38" s="44"/>
      <c r="D38" s="42"/>
      <c r="E38" s="294">
        <f>'deduct list'!W16</f>
        <v>0</v>
      </c>
      <c r="F38" s="42"/>
      <c r="G38" s="42"/>
      <c r="H38" s="45"/>
      <c r="I38" s="42"/>
      <c r="J38" s="42"/>
      <c r="K38" s="50"/>
    </row>
    <row r="39" spans="1:13" ht="15" customHeight="1" x14ac:dyDescent="0.4">
      <c r="A39" s="369" t="s">
        <v>56</v>
      </c>
      <c r="B39" s="18"/>
      <c r="C39" s="371">
        <f>SUM(C30:C38)</f>
        <v>0</v>
      </c>
      <c r="D39" s="147"/>
      <c r="E39" s="147"/>
      <c r="F39" s="147"/>
      <c r="G39" s="179"/>
      <c r="H39" s="179"/>
      <c r="I39" s="179"/>
      <c r="J39" s="179"/>
      <c r="K39" s="360"/>
    </row>
    <row r="40" spans="1:13" ht="15" customHeight="1" x14ac:dyDescent="0.45">
      <c r="A40" s="48"/>
      <c r="B40" s="42"/>
      <c r="C40" s="62"/>
      <c r="D40" s="147"/>
      <c r="E40" s="147"/>
      <c r="F40" s="147"/>
      <c r="G40" s="147"/>
      <c r="H40" s="367" t="s">
        <v>136</v>
      </c>
      <c r="I40" s="75"/>
      <c r="J40" s="75"/>
      <c r="K40" s="370">
        <f>'Portage Bill'!S14</f>
        <v>0</v>
      </c>
    </row>
    <row r="41" spans="1:13" ht="15" customHeight="1" x14ac:dyDescent="0.45">
      <c r="A41" s="48"/>
      <c r="B41" s="42"/>
      <c r="C41" s="368"/>
      <c r="D41" s="147"/>
      <c r="E41" s="147"/>
      <c r="F41" s="147"/>
      <c r="G41" s="147"/>
      <c r="H41" s="367"/>
      <c r="I41" s="75"/>
      <c r="J41" s="75"/>
      <c r="K41" s="361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366" t="s">
        <v>137</v>
      </c>
      <c r="I42" s="362"/>
      <c r="J42" s="75"/>
      <c r="K42" s="366">
        <f>'Portage Bill'!AD14</f>
        <v>0</v>
      </c>
    </row>
    <row r="43" spans="1:13" ht="22.5" customHeight="1" x14ac:dyDescent="0.4">
      <c r="A43" s="155" t="s">
        <v>57</v>
      </c>
      <c r="B43" s="147"/>
      <c r="C43" s="165"/>
      <c r="D43" s="165"/>
      <c r="E43" s="208"/>
      <c r="F43" s="179" t="s">
        <v>58</v>
      </c>
      <c r="G43" s="154"/>
      <c r="H43" s="208"/>
      <c r="I43" s="165"/>
      <c r="J43" s="165"/>
      <c r="K43" s="165"/>
    </row>
    <row r="44" spans="1:13" ht="15" customHeight="1" x14ac:dyDescent="0.4">
      <c r="A44" s="155" t="s">
        <v>59</v>
      </c>
      <c r="B44" s="14"/>
      <c r="C44" s="209"/>
      <c r="D44" s="209"/>
      <c r="E44" s="209"/>
      <c r="F44" s="209"/>
      <c r="G44" s="209"/>
      <c r="H44" s="209"/>
      <c r="I44" s="209"/>
      <c r="J44" s="209"/>
      <c r="K44" s="209"/>
    </row>
    <row r="45" spans="1:13" ht="15" customHeight="1" x14ac:dyDescent="0.4">
      <c r="A45" s="155" t="s">
        <v>60</v>
      </c>
      <c r="B45" s="14"/>
      <c r="C45" s="14"/>
      <c r="D45" s="14"/>
      <c r="E45" s="210"/>
      <c r="F45" s="209"/>
      <c r="G45" s="209"/>
      <c r="H45" s="209"/>
      <c r="I45" s="209"/>
      <c r="J45" s="209"/>
      <c r="K45" s="209"/>
    </row>
    <row r="46" spans="1:13" ht="15" customHeight="1" x14ac:dyDescent="0.4">
      <c r="A46" s="155" t="s">
        <v>61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3" ht="21" customHeight="1" x14ac:dyDescent="0.4">
      <c r="A47" s="211" t="s">
        <v>106</v>
      </c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 t="s">
        <v>62</v>
      </c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1" ht="15" customHeight="1" x14ac:dyDescent="0.4">
      <c r="A49" s="147"/>
      <c r="B49" s="14"/>
      <c r="C49" s="14"/>
      <c r="D49" s="14"/>
      <c r="E49" s="179" t="s">
        <v>30</v>
      </c>
      <c r="F49" s="214"/>
      <c r="G49" s="233">
        <f>'Portage Bill'!K2</f>
        <v>41394</v>
      </c>
      <c r="H49" s="14"/>
      <c r="I49" s="14"/>
      <c r="J49" s="14"/>
      <c r="K49" s="14"/>
    </row>
    <row r="50" spans="1:11" ht="24" customHeight="1" x14ac:dyDescent="0.4">
      <c r="A50" s="43"/>
      <c r="B50" s="53"/>
      <c r="C50" s="53"/>
      <c r="D50" s="53"/>
      <c r="G50" s="1"/>
      <c r="H50" s="53"/>
      <c r="I50" s="53"/>
      <c r="J50" s="53"/>
      <c r="K50" s="53"/>
    </row>
    <row r="51" spans="1:11" ht="15" customHeight="1" x14ac:dyDescent="0.35">
      <c r="A51" s="58" t="s">
        <v>63</v>
      </c>
      <c r="B51" s="56"/>
      <c r="C51" s="56"/>
      <c r="D51" s="56"/>
      <c r="H51" s="59" t="s">
        <v>64</v>
      </c>
      <c r="I51" s="57"/>
      <c r="J51" s="57"/>
      <c r="K51" s="57"/>
    </row>
    <row r="52" spans="1:11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1" ht="17.100000000000001" customHeight="1" x14ac:dyDescent="0.35">
      <c r="J53" s="55" t="s">
        <v>65</v>
      </c>
    </row>
    <row r="54" spans="1:11" ht="17.100000000000001" customHeight="1" x14ac:dyDescent="0.35"/>
  </sheetData>
  <sheetProtection formatCells="0" formatColumns="0" formatRows="0"/>
  <phoneticPr fontId="14" type="noConversion"/>
  <pageMargins left="0.74803149606299202" right="0.35433070866141703" top="0.39370078740157499" bottom="0.39370078740157499" header="0.511811023622047" footer="0.511811023622047"/>
  <pageSetup paperSize="9" scale="95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4"/>
  <sheetViews>
    <sheetView view="pageLayout" zoomScaleNormal="106" workbookViewId="0">
      <selection activeCell="C5" sqref="C5"/>
    </sheetView>
  </sheetViews>
  <sheetFormatPr defaultRowHeight="12.75" x14ac:dyDescent="0.35"/>
  <cols>
    <col min="1" max="1" width="13.86328125" customWidth="1"/>
    <col min="2" max="2" width="10" customWidth="1"/>
    <col min="3" max="3" width="12.1328125" customWidth="1"/>
    <col min="4" max="4" width="4.1328125" customWidth="1"/>
    <col min="5" max="5" width="11.46484375" customWidth="1"/>
    <col min="6" max="6" width="3.33203125" customWidth="1"/>
    <col min="7" max="7" width="9.46484375" customWidth="1"/>
    <col min="8" max="8" width="7.46484375" customWidth="1"/>
    <col min="10" max="10" width="5.6640625" customWidth="1"/>
    <col min="11" max="11" width="9.86328125" customWidth="1"/>
  </cols>
  <sheetData>
    <row r="1" spans="1:11" ht="13.15" x14ac:dyDescent="0.4">
      <c r="A1" s="147"/>
      <c r="B1" s="147"/>
      <c r="C1" s="147"/>
      <c r="D1" s="147"/>
      <c r="E1" s="147"/>
      <c r="F1" s="147"/>
      <c r="G1" s="147"/>
      <c r="H1" s="147"/>
      <c r="I1" s="148" t="s">
        <v>80</v>
      </c>
      <c r="J1" s="149" t="s">
        <v>82</v>
      </c>
      <c r="K1" s="150" t="s">
        <v>89</v>
      </c>
    </row>
    <row r="2" spans="1:11" ht="13.15" x14ac:dyDescent="0.4">
      <c r="A2" s="147"/>
      <c r="B2" s="147"/>
      <c r="C2" s="147"/>
      <c r="D2" s="147"/>
      <c r="E2" s="147"/>
      <c r="F2" s="147"/>
      <c r="G2" s="147"/>
      <c r="H2" s="147"/>
      <c r="I2" s="148" t="s">
        <v>81</v>
      </c>
      <c r="J2" s="149" t="s">
        <v>82</v>
      </c>
      <c r="K2" s="151" t="s">
        <v>83</v>
      </c>
    </row>
    <row r="3" spans="1:11" ht="19.899999999999999" x14ac:dyDescent="0.5">
      <c r="A3" s="147"/>
      <c r="B3" s="147"/>
      <c r="C3" s="147"/>
      <c r="D3" s="319" t="s">
        <v>32</v>
      </c>
      <c r="E3" s="147"/>
      <c r="F3" s="147"/>
      <c r="G3" s="147"/>
      <c r="H3" s="147"/>
      <c r="I3" s="153"/>
      <c r="J3" s="154"/>
      <c r="K3" s="154"/>
    </row>
    <row r="4" spans="1:11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</row>
    <row r="6" spans="1:11" ht="15" x14ac:dyDescent="0.4">
      <c r="A6" s="155" t="str">
        <f>'Portage Bill'!B3</f>
        <v xml:space="preserve">Vessel:     </v>
      </c>
      <c r="B6" s="156">
        <f>'Portage Bill'!C3</f>
        <v>0</v>
      </c>
      <c r="C6" s="157"/>
      <c r="D6" s="158"/>
      <c r="E6" s="159"/>
      <c r="F6" s="147"/>
      <c r="G6" s="147"/>
      <c r="H6" s="155" t="s">
        <v>33</v>
      </c>
      <c r="I6" s="155"/>
      <c r="J6" s="160" t="s">
        <v>34</v>
      </c>
      <c r="K6" s="161"/>
    </row>
    <row r="7" spans="1:11" ht="15" customHeight="1" x14ac:dyDescent="0.4">
      <c r="A7" s="147"/>
      <c r="B7" s="147"/>
      <c r="C7" s="147"/>
      <c r="D7" s="147"/>
      <c r="E7" s="147"/>
      <c r="F7" s="147"/>
      <c r="G7" s="147"/>
      <c r="H7" s="155" t="s">
        <v>35</v>
      </c>
      <c r="I7" s="155"/>
      <c r="J7" s="162"/>
      <c r="K7" s="163">
        <f>'Portage Bill'!F66</f>
        <v>0</v>
      </c>
    </row>
    <row r="8" spans="1:11" ht="15" customHeight="1" x14ac:dyDescent="0.4">
      <c r="A8" s="155" t="s">
        <v>36</v>
      </c>
      <c r="B8" s="164">
        <f>'Portage Bill'!B15</f>
        <v>0</v>
      </c>
      <c r="C8" s="165"/>
      <c r="D8" s="165"/>
      <c r="E8" s="147"/>
      <c r="F8" s="147"/>
      <c r="G8" s="147"/>
      <c r="H8" s="155" t="s">
        <v>37</v>
      </c>
      <c r="I8" s="155"/>
      <c r="J8" s="162"/>
      <c r="K8" s="163">
        <f>'Portage Bill'!J66</f>
        <v>0</v>
      </c>
    </row>
    <row r="9" spans="1:11" ht="15" customHeight="1" x14ac:dyDescent="0.4">
      <c r="A9" s="155" t="s">
        <v>38</v>
      </c>
      <c r="B9" s="166" t="str">
        <f>'Portage Bill'!D15</f>
        <v>4th Engineer</v>
      </c>
      <c r="C9" s="165"/>
      <c r="D9" s="147"/>
      <c r="E9" s="147"/>
      <c r="F9" s="147"/>
      <c r="G9" s="147"/>
      <c r="H9" s="155" t="s">
        <v>39</v>
      </c>
      <c r="I9" s="155"/>
      <c r="J9" s="155"/>
      <c r="K9" s="147"/>
    </row>
    <row r="10" spans="1:11" ht="15" customHeight="1" x14ac:dyDescent="0.4">
      <c r="A10" s="155" t="s">
        <v>40</v>
      </c>
      <c r="B10" s="167"/>
      <c r="C10" s="168"/>
      <c r="D10" s="147"/>
      <c r="E10" s="147"/>
      <c r="F10" s="147"/>
      <c r="G10" s="155" t="s">
        <v>41</v>
      </c>
      <c r="H10" s="169"/>
      <c r="I10" s="155" t="s">
        <v>42</v>
      </c>
      <c r="J10" s="316"/>
      <c r="K10" s="171"/>
    </row>
    <row r="11" spans="1:11" ht="15" customHeight="1" x14ac:dyDescent="0.4">
      <c r="A11" s="155"/>
      <c r="B11" s="334"/>
      <c r="C11" s="335"/>
      <c r="D11" s="147"/>
      <c r="E11" s="147"/>
      <c r="F11" s="147"/>
      <c r="G11" s="155"/>
      <c r="H11" s="336"/>
      <c r="I11" s="155"/>
      <c r="J11" s="316"/>
      <c r="K11" s="337"/>
    </row>
    <row r="12" spans="1:11" ht="15" customHeight="1" x14ac:dyDescent="0.4">
      <c r="A12" s="344" t="s">
        <v>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</row>
    <row r="13" spans="1:11" ht="15" customHeight="1" x14ac:dyDescent="0.4">
      <c r="A13" s="346" t="s">
        <v>44</v>
      </c>
      <c r="B13" s="338"/>
      <c r="C13" s="175">
        <f>'Portage Bill'!G2</f>
        <v>41365</v>
      </c>
      <c r="D13" s="347" t="s">
        <v>45</v>
      </c>
      <c r="E13" s="175">
        <f>'Portage Bill'!K2</f>
        <v>41394</v>
      </c>
      <c r="F13" s="348" t="s">
        <v>46</v>
      </c>
      <c r="G13" s="177" t="s">
        <v>114</v>
      </c>
      <c r="H13" s="347" t="s">
        <v>47</v>
      </c>
      <c r="I13" s="178">
        <f>'Portage Bill'!F15</f>
        <v>0</v>
      </c>
      <c r="J13" s="347" t="s">
        <v>43</v>
      </c>
      <c r="K13" s="163">
        <f>'Portage Bill'!G15</f>
        <v>0</v>
      </c>
    </row>
    <row r="14" spans="1:11" ht="15" customHeight="1" x14ac:dyDescent="0.4">
      <c r="A14" s="349" t="s">
        <v>140</v>
      </c>
      <c r="B14" s="350"/>
      <c r="C14" s="43"/>
      <c r="D14" s="43"/>
      <c r="E14" s="43"/>
      <c r="F14" s="351"/>
      <c r="G14" s="8"/>
      <c r="H14" s="43"/>
      <c r="I14" s="352"/>
      <c r="J14" s="353"/>
      <c r="K14" s="49">
        <f>'Portage Bill'!I15</f>
        <v>0</v>
      </c>
    </row>
    <row r="15" spans="1:11" ht="15" customHeight="1" x14ac:dyDescent="0.4">
      <c r="A15" s="349" t="s">
        <v>48</v>
      </c>
      <c r="B15" s="83"/>
      <c r="C15" s="43"/>
      <c r="D15" s="43"/>
      <c r="E15" s="43"/>
      <c r="F15" s="43"/>
      <c r="G15" s="43"/>
      <c r="H15" s="43"/>
      <c r="I15" s="43"/>
      <c r="J15" s="8"/>
      <c r="K15" s="49">
        <f>'Portage Bill'!N15</f>
        <v>0</v>
      </c>
    </row>
    <row r="16" spans="1:11" ht="15" customHeight="1" x14ac:dyDescent="0.4">
      <c r="A16" s="349" t="s">
        <v>49</v>
      </c>
      <c r="B16" s="84"/>
      <c r="C16" s="46" t="s">
        <v>18</v>
      </c>
      <c r="D16" s="43"/>
      <c r="E16" s="43"/>
      <c r="F16" s="43"/>
      <c r="G16" s="43"/>
      <c r="H16" s="43"/>
      <c r="I16" s="43"/>
      <c r="J16" s="8"/>
      <c r="K16" s="49">
        <f>'Portage Bill'!O15</f>
        <v>0</v>
      </c>
    </row>
    <row r="17" spans="1:13" ht="15" customHeight="1" x14ac:dyDescent="0.4">
      <c r="A17" s="349" t="s">
        <v>50</v>
      </c>
      <c r="B17" s="81"/>
      <c r="C17" s="274" t="str">
        <f>'Portage Bill'!L5</f>
        <v>Travelling</v>
      </c>
      <c r="D17" s="43"/>
      <c r="E17" s="43"/>
      <c r="F17" s="43"/>
      <c r="G17" s="43"/>
      <c r="H17" s="43"/>
      <c r="I17" s="43"/>
      <c r="J17" s="8"/>
      <c r="K17" s="49">
        <f>'Portage Bill'!L15</f>
        <v>0</v>
      </c>
    </row>
    <row r="18" spans="1:13" ht="15" customHeight="1" x14ac:dyDescent="0.4">
      <c r="A18" s="351" t="s">
        <v>50</v>
      </c>
      <c r="B18" s="43"/>
      <c r="C18" s="81" t="str">
        <f>'Portage Bill'!J6</f>
        <v>FIDELITY</v>
      </c>
      <c r="D18" s="43"/>
      <c r="E18" s="43"/>
      <c r="F18" s="43"/>
      <c r="G18" s="43"/>
      <c r="H18" s="43"/>
      <c r="I18" s="43"/>
      <c r="J18" s="8"/>
      <c r="K18" s="49">
        <f>'Portage Bill'!J15</f>
        <v>0</v>
      </c>
    </row>
    <row r="19" spans="1:13" ht="15" customHeight="1" x14ac:dyDescent="0.4">
      <c r="A19" s="351" t="s">
        <v>50</v>
      </c>
      <c r="B19" s="43"/>
      <c r="C19" s="82" t="str">
        <f>'Portage Bill'!K5</f>
        <v>ALLOWANCE</v>
      </c>
      <c r="D19" s="43"/>
      <c r="E19" s="43"/>
      <c r="F19" s="43"/>
      <c r="G19" s="43"/>
      <c r="H19" s="43"/>
      <c r="I19" s="43"/>
      <c r="J19" s="8"/>
      <c r="K19" s="50">
        <f>'Portage Bill'!K15</f>
        <v>0</v>
      </c>
    </row>
    <row r="20" spans="1:13" ht="15" customHeight="1" x14ac:dyDescent="0.45">
      <c r="A20" s="354" t="s">
        <v>50</v>
      </c>
      <c r="B20" s="44"/>
      <c r="C20" s="280" t="str">
        <f>'Portage Bill'!P6</f>
        <v>Bonus &amp; Extras</v>
      </c>
      <c r="D20" s="69"/>
      <c r="E20" s="67"/>
      <c r="F20" s="44"/>
      <c r="G20" s="44"/>
      <c r="H20" s="44"/>
      <c r="I20" s="44"/>
      <c r="J20" s="44"/>
      <c r="K20" s="355">
        <f>'Portage Bill'!P15</f>
        <v>0</v>
      </c>
    </row>
    <row r="21" spans="1:13" ht="15" customHeight="1" x14ac:dyDescent="0.4">
      <c r="A21" s="42"/>
      <c r="B21" s="42"/>
      <c r="C21" s="42"/>
      <c r="D21" s="42"/>
      <c r="E21" s="42"/>
      <c r="F21" s="42"/>
      <c r="H21" s="51" t="s">
        <v>51</v>
      </c>
      <c r="I21" s="42"/>
      <c r="J21" s="42"/>
      <c r="K21" s="52">
        <f>SUM(K12:K20)</f>
        <v>0</v>
      </c>
    </row>
    <row r="22" spans="1:13" ht="15" customHeight="1" x14ac:dyDescent="0.4">
      <c r="A22" s="42"/>
      <c r="B22" s="42"/>
      <c r="C22" s="42"/>
      <c r="D22" s="42"/>
      <c r="E22" s="42"/>
      <c r="F22" s="42"/>
      <c r="H22" s="51"/>
      <c r="I22" s="42"/>
      <c r="J22" s="42"/>
      <c r="K22" s="52"/>
    </row>
    <row r="23" spans="1:13" ht="15" customHeight="1" x14ac:dyDescent="0.4">
      <c r="A23" s="339" t="s">
        <v>135</v>
      </c>
      <c r="B23" s="340"/>
      <c r="C23" s="340"/>
      <c r="D23" s="340"/>
      <c r="E23" s="340"/>
      <c r="F23" s="340"/>
      <c r="G23" s="341"/>
      <c r="H23" s="342"/>
      <c r="I23" s="340"/>
      <c r="J23" s="340"/>
      <c r="K23" s="356">
        <f>'Portage Bill'!AB15</f>
        <v>0</v>
      </c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339" t="s">
        <v>138</v>
      </c>
      <c r="B25" s="340"/>
      <c r="C25" s="340"/>
      <c r="D25" s="340"/>
      <c r="E25" s="340"/>
      <c r="F25" s="340"/>
      <c r="G25" s="341"/>
      <c r="H25" s="342"/>
      <c r="I25" s="340"/>
      <c r="J25" s="340"/>
      <c r="K25" s="356">
        <f>'Portage Bill'!AC15</f>
        <v>0</v>
      </c>
    </row>
    <row r="26" spans="1:13" ht="15" customHeight="1" x14ac:dyDescent="0.4">
      <c r="A26" s="363"/>
      <c r="B26" s="8"/>
      <c r="C26" s="8"/>
      <c r="D26" s="8"/>
      <c r="E26" s="8"/>
      <c r="F26" s="8"/>
      <c r="G26" s="1"/>
      <c r="H26" s="364"/>
      <c r="I26" s="8"/>
      <c r="J26" s="8"/>
      <c r="K26" s="365"/>
    </row>
    <row r="27" spans="1:13" ht="15" customHeight="1" x14ac:dyDescent="0.4">
      <c r="A27" s="339"/>
      <c r="B27" s="340"/>
      <c r="C27" s="340"/>
      <c r="D27" s="340"/>
      <c r="E27" s="340"/>
      <c r="F27" s="340"/>
      <c r="G27" s="342" t="s">
        <v>139</v>
      </c>
      <c r="H27" s="342"/>
      <c r="I27" s="340"/>
      <c r="J27" s="340"/>
      <c r="K27" s="356">
        <f>SUM(K21:K26)</f>
        <v>0</v>
      </c>
      <c r="M27" s="42"/>
    </row>
    <row r="28" spans="1:13" ht="15" customHeight="1" x14ac:dyDescent="0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357" t="s">
        <v>52</v>
      </c>
      <c r="B29" s="358"/>
      <c r="C29" s="358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88" t="str">
        <f>'Portage Bill'!X7</f>
        <v>Telecon</v>
      </c>
      <c r="B30" s="8"/>
      <c r="C30" s="62">
        <f>'Portage Bill'!X15</f>
        <v>0</v>
      </c>
      <c r="D30" s="42"/>
      <c r="E30" s="42"/>
      <c r="F30" s="42"/>
      <c r="G30" s="42"/>
      <c r="H30" s="42"/>
      <c r="I30" s="42"/>
      <c r="J30" s="42"/>
      <c r="K30" s="62"/>
      <c r="M30" s="42"/>
    </row>
    <row r="31" spans="1:13" ht="15" customHeight="1" x14ac:dyDescent="0.4">
      <c r="A31" s="351" t="s">
        <v>53</v>
      </c>
      <c r="B31" s="8"/>
      <c r="C31" s="62">
        <f>'Portage Bill'!W15</f>
        <v>0</v>
      </c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351" t="s">
        <v>54</v>
      </c>
      <c r="B32" s="8"/>
      <c r="C32" s="62">
        <f>'Portage Bill'!U15</f>
        <v>0</v>
      </c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351" t="s">
        <v>54</v>
      </c>
      <c r="B33" s="8"/>
      <c r="C33" s="62">
        <f>'Portage Bill'!V15</f>
        <v>0</v>
      </c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351" t="s">
        <v>98</v>
      </c>
      <c r="B34" s="8"/>
      <c r="C34" s="62">
        <f>'Portage Bill'!T15</f>
        <v>0</v>
      </c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351" t="s">
        <v>92</v>
      </c>
      <c r="B35" s="8"/>
      <c r="C35" s="62">
        <f>'Portage Bill'!Y15</f>
        <v>0</v>
      </c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351" t="str">
        <f>'Portage Bill'!R7</f>
        <v>***Leave pay</v>
      </c>
      <c r="B36" s="8"/>
      <c r="C36" s="343">
        <f>'Portage Bill'!R15</f>
        <v>0</v>
      </c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351" t="s">
        <v>55</v>
      </c>
      <c r="B37" s="8"/>
      <c r="C37" s="43"/>
      <c r="D37" s="42"/>
      <c r="E37" s="42"/>
      <c r="F37" s="42"/>
      <c r="G37" s="42"/>
      <c r="H37" s="42"/>
      <c r="I37" s="42"/>
      <c r="J37" s="42"/>
      <c r="K37" s="42"/>
    </row>
    <row r="38" spans="1:13" ht="16.5" customHeight="1" x14ac:dyDescent="0.4">
      <c r="A38" s="359" t="str">
        <f>'deduct list'!W9</f>
        <v>Accumulated Leave pay</v>
      </c>
      <c r="B38" s="44"/>
      <c r="C38" s="44"/>
      <c r="D38" s="42"/>
      <c r="E38" s="294">
        <f>'deduct list'!W17</f>
        <v>0</v>
      </c>
      <c r="F38" s="42"/>
      <c r="G38" s="42"/>
      <c r="H38" s="45"/>
      <c r="I38" s="42"/>
      <c r="J38" s="42"/>
      <c r="K38" s="50"/>
    </row>
    <row r="39" spans="1:13" ht="15" customHeight="1" x14ac:dyDescent="0.4">
      <c r="A39" s="369" t="s">
        <v>56</v>
      </c>
      <c r="B39" s="18"/>
      <c r="C39" s="371">
        <f>SUM(C30:C38)</f>
        <v>0</v>
      </c>
      <c r="D39" s="147"/>
      <c r="E39" s="147"/>
      <c r="F39" s="147"/>
      <c r="G39" s="179"/>
      <c r="H39" s="179"/>
      <c r="I39" s="179"/>
      <c r="J39" s="179"/>
      <c r="K39" s="360"/>
    </row>
    <row r="40" spans="1:13" ht="15" customHeight="1" x14ac:dyDescent="0.45">
      <c r="A40" s="48"/>
      <c r="B40" s="42"/>
      <c r="C40" s="62"/>
      <c r="D40" s="147"/>
      <c r="E40" s="147"/>
      <c r="F40" s="147"/>
      <c r="G40" s="147"/>
      <c r="H40" s="367" t="s">
        <v>136</v>
      </c>
      <c r="I40" s="75"/>
      <c r="J40" s="75"/>
      <c r="K40" s="370">
        <f>'Portage Bill'!S15</f>
        <v>0</v>
      </c>
    </row>
    <row r="41" spans="1:13" ht="15" customHeight="1" x14ac:dyDescent="0.45">
      <c r="A41" s="48"/>
      <c r="B41" s="42"/>
      <c r="C41" s="368"/>
      <c r="D41" s="147"/>
      <c r="E41" s="147"/>
      <c r="F41" s="147"/>
      <c r="G41" s="147"/>
      <c r="H41" s="367"/>
      <c r="I41" s="75"/>
      <c r="J41" s="75"/>
      <c r="K41" s="361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366" t="s">
        <v>137</v>
      </c>
      <c r="I42" s="362"/>
      <c r="J42" s="75"/>
      <c r="K42" s="366">
        <f>'Portage Bill'!AD15</f>
        <v>0</v>
      </c>
    </row>
    <row r="43" spans="1:13" ht="22.5" customHeight="1" x14ac:dyDescent="0.4">
      <c r="A43" s="155" t="s">
        <v>57</v>
      </c>
      <c r="B43" s="147"/>
      <c r="C43" s="165"/>
      <c r="D43" s="165"/>
      <c r="E43" s="208"/>
      <c r="F43" s="179" t="s">
        <v>58</v>
      </c>
      <c r="G43" s="154"/>
      <c r="H43" s="208"/>
      <c r="I43" s="165"/>
      <c r="J43" s="165"/>
      <c r="K43" s="165"/>
    </row>
    <row r="44" spans="1:13" ht="15" customHeight="1" x14ac:dyDescent="0.4">
      <c r="A44" s="155" t="s">
        <v>59</v>
      </c>
      <c r="B44" s="14"/>
      <c r="C44" s="209"/>
      <c r="D44" s="209"/>
      <c r="E44" s="209"/>
      <c r="F44" s="209"/>
      <c r="G44" s="209"/>
      <c r="H44" s="209"/>
      <c r="I44" s="209"/>
      <c r="J44" s="209"/>
      <c r="K44" s="209"/>
    </row>
    <row r="45" spans="1:13" ht="15" customHeight="1" x14ac:dyDescent="0.4">
      <c r="A45" s="155" t="s">
        <v>60</v>
      </c>
      <c r="B45" s="14"/>
      <c r="C45" s="14"/>
      <c r="D45" s="14"/>
      <c r="E45" s="210"/>
      <c r="F45" s="209"/>
      <c r="G45" s="209"/>
      <c r="H45" s="209"/>
      <c r="I45" s="209"/>
      <c r="J45" s="209"/>
      <c r="K45" s="209"/>
    </row>
    <row r="46" spans="1:13" ht="15" customHeight="1" x14ac:dyDescent="0.4">
      <c r="A46" s="155" t="s">
        <v>61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3" ht="21" customHeight="1" x14ac:dyDescent="0.4">
      <c r="A47" s="211" t="s">
        <v>106</v>
      </c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 t="s">
        <v>62</v>
      </c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1" ht="15" customHeight="1" x14ac:dyDescent="0.4">
      <c r="A49" s="147"/>
      <c r="B49" s="14"/>
      <c r="C49" s="14"/>
      <c r="D49" s="14"/>
      <c r="E49" s="179" t="s">
        <v>30</v>
      </c>
      <c r="F49" s="214"/>
      <c r="G49" s="233">
        <f>'Portage Bill'!K2</f>
        <v>41394</v>
      </c>
      <c r="H49" s="14"/>
      <c r="I49" s="14"/>
      <c r="J49" s="14"/>
      <c r="K49" s="14"/>
    </row>
    <row r="50" spans="1:11" ht="24" customHeight="1" x14ac:dyDescent="0.4">
      <c r="A50" s="43"/>
      <c r="B50" s="53"/>
      <c r="C50" s="53"/>
      <c r="D50" s="53"/>
      <c r="G50" s="1"/>
      <c r="H50" s="53"/>
      <c r="I50" s="53"/>
      <c r="J50" s="53"/>
      <c r="K50" s="53"/>
    </row>
    <row r="51" spans="1:11" ht="15" customHeight="1" x14ac:dyDescent="0.35">
      <c r="A51" s="58" t="s">
        <v>63</v>
      </c>
      <c r="B51" s="56"/>
      <c r="C51" s="56"/>
      <c r="D51" s="56"/>
      <c r="H51" s="59" t="s">
        <v>64</v>
      </c>
      <c r="I51" s="57"/>
      <c r="J51" s="57"/>
      <c r="K51" s="57"/>
    </row>
    <row r="52" spans="1:11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1" ht="17.100000000000001" customHeight="1" x14ac:dyDescent="0.35">
      <c r="J53" s="55" t="s">
        <v>65</v>
      </c>
    </row>
    <row r="54" spans="1:11" ht="17.100000000000001" customHeight="1" x14ac:dyDescent="0.35"/>
  </sheetData>
  <sheetProtection formatCells="0" formatColumns="0" formatRows="0"/>
  <phoneticPr fontId="59" type="noConversion"/>
  <pageMargins left="1.19" right="0.75" top="0.46" bottom="1" header="0.5" footer="0.5"/>
  <pageSetup paperSize="9" scale="85"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view="pageLayout" zoomScaleNormal="106" workbookViewId="0">
      <selection activeCell="F9" sqref="F9"/>
    </sheetView>
  </sheetViews>
  <sheetFormatPr defaultRowHeight="12.75" x14ac:dyDescent="0.35"/>
  <cols>
    <col min="1" max="1" width="10.86328125" customWidth="1"/>
    <col min="2" max="2" width="10.53125" customWidth="1"/>
    <col min="3" max="3" width="11.53125" customWidth="1"/>
    <col min="4" max="4" width="4.1328125" customWidth="1"/>
    <col min="5" max="5" width="11.33203125" customWidth="1"/>
    <col min="6" max="6" width="3.33203125" customWidth="1"/>
    <col min="7" max="7" width="5.1328125" customWidth="1"/>
    <col min="8" max="8" width="7.46484375" customWidth="1"/>
    <col min="9" max="9" width="5.46484375" customWidth="1"/>
    <col min="10" max="10" width="13" customWidth="1"/>
    <col min="11" max="11" width="9.46484375" customWidth="1"/>
  </cols>
  <sheetData>
    <row r="1" spans="1:11" ht="13.15" x14ac:dyDescent="0.4">
      <c r="A1" s="147"/>
      <c r="B1" s="147"/>
      <c r="C1" s="147"/>
      <c r="D1" s="147"/>
      <c r="E1" s="147"/>
      <c r="F1" s="147"/>
      <c r="G1" s="147"/>
      <c r="H1" s="147"/>
      <c r="I1" s="148" t="s">
        <v>80</v>
      </c>
      <c r="J1" s="149" t="s">
        <v>82</v>
      </c>
      <c r="K1" s="150" t="s">
        <v>89</v>
      </c>
    </row>
    <row r="2" spans="1:11" ht="13.15" x14ac:dyDescent="0.4">
      <c r="A2" s="147"/>
      <c r="B2" s="147"/>
      <c r="C2" s="147"/>
      <c r="D2" s="147"/>
      <c r="E2" s="147"/>
      <c r="F2" s="147"/>
      <c r="G2" s="147"/>
      <c r="H2" s="147"/>
      <c r="I2" s="148" t="s">
        <v>81</v>
      </c>
      <c r="J2" s="149" t="s">
        <v>82</v>
      </c>
      <c r="K2" s="151" t="s">
        <v>83</v>
      </c>
    </row>
    <row r="3" spans="1:11" ht="19.899999999999999" x14ac:dyDescent="0.5">
      <c r="A3" s="147"/>
      <c r="B3" s="147"/>
      <c r="C3" s="147"/>
      <c r="D3" s="319" t="s">
        <v>32</v>
      </c>
      <c r="E3" s="147"/>
      <c r="F3" s="147"/>
      <c r="G3" s="147"/>
      <c r="H3" s="147"/>
      <c r="I3" s="153"/>
      <c r="J3" s="154"/>
      <c r="K3" s="154"/>
    </row>
    <row r="4" spans="1:11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</row>
    <row r="6" spans="1:11" ht="15" x14ac:dyDescent="0.4">
      <c r="A6" s="155" t="str">
        <f>'Portage Bill'!B3</f>
        <v xml:space="preserve">Vessel:     </v>
      </c>
      <c r="B6" s="156">
        <f>'Portage Bill'!C3</f>
        <v>0</v>
      </c>
      <c r="C6" s="157"/>
      <c r="D6" s="158"/>
      <c r="E6" s="159"/>
      <c r="F6" s="147"/>
      <c r="G6" s="147"/>
      <c r="H6" s="155" t="s">
        <v>33</v>
      </c>
      <c r="I6" s="155"/>
      <c r="J6" s="160" t="s">
        <v>34</v>
      </c>
      <c r="K6" s="161"/>
    </row>
    <row r="7" spans="1:11" ht="15" customHeight="1" x14ac:dyDescent="0.4">
      <c r="A7" s="147"/>
      <c r="B7" s="147"/>
      <c r="C7" s="147"/>
      <c r="D7" s="147"/>
      <c r="E7" s="147"/>
      <c r="F7" s="147"/>
      <c r="G7" s="147"/>
      <c r="H7" s="155" t="s">
        <v>35</v>
      </c>
      <c r="I7" s="155"/>
      <c r="J7" s="162"/>
      <c r="K7" s="163">
        <f>'Portage Bill'!F67</f>
        <v>0</v>
      </c>
    </row>
    <row r="8" spans="1:11" ht="15" customHeight="1" x14ac:dyDescent="0.4">
      <c r="A8" s="155" t="s">
        <v>36</v>
      </c>
      <c r="B8" s="164">
        <f>'Portage Bill'!B16</f>
        <v>0</v>
      </c>
      <c r="C8" s="165"/>
      <c r="D8" s="165"/>
      <c r="E8" s="147"/>
      <c r="F8" s="147"/>
      <c r="G8" s="147"/>
      <c r="H8" s="155" t="s">
        <v>37</v>
      </c>
      <c r="I8" s="155"/>
      <c r="J8" s="162"/>
      <c r="K8" s="163">
        <f>'Portage Bill'!J67</f>
        <v>0</v>
      </c>
    </row>
    <row r="9" spans="1:11" ht="15" customHeight="1" x14ac:dyDescent="0.4">
      <c r="A9" s="155" t="s">
        <v>38</v>
      </c>
      <c r="B9" s="166" t="str">
        <f>'Portage Bill'!D16</f>
        <v>El.ENG</v>
      </c>
      <c r="C9" s="165"/>
      <c r="D9" s="147"/>
      <c r="E9" s="147"/>
      <c r="F9" s="147"/>
      <c r="G9" s="147"/>
      <c r="H9" s="155" t="s">
        <v>39</v>
      </c>
      <c r="I9" s="155"/>
      <c r="J9" s="155"/>
      <c r="K9" s="147"/>
    </row>
    <row r="10" spans="1:11" ht="15" customHeight="1" x14ac:dyDescent="0.4">
      <c r="A10" s="155" t="s">
        <v>40</v>
      </c>
      <c r="B10" s="167"/>
      <c r="C10" s="168"/>
      <c r="D10" s="147"/>
      <c r="E10" s="147"/>
      <c r="F10" s="147"/>
      <c r="G10" s="155" t="s">
        <v>41</v>
      </c>
      <c r="H10" s="169"/>
      <c r="I10" s="155" t="s">
        <v>42</v>
      </c>
      <c r="J10" s="316"/>
      <c r="K10" s="171"/>
    </row>
    <row r="11" spans="1:11" ht="15" customHeight="1" x14ac:dyDescent="0.4">
      <c r="A11" s="155"/>
      <c r="B11" s="334"/>
      <c r="C11" s="335"/>
      <c r="D11" s="147"/>
      <c r="E11" s="147"/>
      <c r="F11" s="147"/>
      <c r="G11" s="155"/>
      <c r="H11" s="336"/>
      <c r="I11" s="155"/>
      <c r="J11" s="316"/>
      <c r="K11" s="337"/>
    </row>
    <row r="12" spans="1:11" ht="15" customHeight="1" x14ac:dyDescent="0.4">
      <c r="A12" s="344" t="s">
        <v>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</row>
    <row r="13" spans="1:11" ht="15" customHeight="1" x14ac:dyDescent="0.4">
      <c r="A13" s="346" t="s">
        <v>44</v>
      </c>
      <c r="B13" s="338"/>
      <c r="C13" s="175">
        <f>'Portage Bill'!G2</f>
        <v>41365</v>
      </c>
      <c r="D13" s="347" t="s">
        <v>45</v>
      </c>
      <c r="E13" s="175">
        <f>'Portage Bill'!K2</f>
        <v>41394</v>
      </c>
      <c r="F13" s="348" t="s">
        <v>46</v>
      </c>
      <c r="G13" s="177" t="s">
        <v>114</v>
      </c>
      <c r="H13" s="347" t="s">
        <v>47</v>
      </c>
      <c r="I13" s="178">
        <f>'Portage Bill'!F16</f>
        <v>0</v>
      </c>
      <c r="J13" s="347" t="s">
        <v>43</v>
      </c>
      <c r="K13" s="163">
        <f>'Portage Bill'!G16</f>
        <v>0</v>
      </c>
    </row>
    <row r="14" spans="1:11" ht="15" customHeight="1" x14ac:dyDescent="0.4">
      <c r="A14" s="349" t="s">
        <v>140</v>
      </c>
      <c r="B14" s="350"/>
      <c r="C14" s="43"/>
      <c r="D14" s="43"/>
      <c r="E14" s="43"/>
      <c r="F14" s="351"/>
      <c r="G14" s="8"/>
      <c r="H14" s="43"/>
      <c r="I14" s="352"/>
      <c r="J14" s="353"/>
      <c r="K14" s="49">
        <f>'Portage Bill'!I16</f>
        <v>0</v>
      </c>
    </row>
    <row r="15" spans="1:11" ht="15" customHeight="1" x14ac:dyDescent="0.4">
      <c r="A15" s="349" t="s">
        <v>48</v>
      </c>
      <c r="B15" s="83"/>
      <c r="C15" s="43"/>
      <c r="D15" s="43"/>
      <c r="E15" s="43"/>
      <c r="F15" s="43"/>
      <c r="G15" s="43"/>
      <c r="H15" s="43"/>
      <c r="I15" s="43"/>
      <c r="J15" s="8"/>
      <c r="K15" s="49">
        <f>'Portage Bill'!N16</f>
        <v>0</v>
      </c>
    </row>
    <row r="16" spans="1:11" ht="15" customHeight="1" x14ac:dyDescent="0.4">
      <c r="A16" s="349" t="s">
        <v>49</v>
      </c>
      <c r="B16" s="84"/>
      <c r="C16" s="46" t="s">
        <v>18</v>
      </c>
      <c r="D16" s="43"/>
      <c r="E16" s="43"/>
      <c r="F16" s="43"/>
      <c r="G16" s="43"/>
      <c r="H16" s="43"/>
      <c r="I16" s="43"/>
      <c r="J16" s="8"/>
      <c r="K16" s="49">
        <f>'Portage Bill'!O16</f>
        <v>0</v>
      </c>
    </row>
    <row r="17" spans="1:13" ht="15" customHeight="1" x14ac:dyDescent="0.4">
      <c r="A17" s="349" t="s">
        <v>50</v>
      </c>
      <c r="B17" s="81"/>
      <c r="C17" s="274" t="str">
        <f>'Portage Bill'!L5</f>
        <v>Travelling</v>
      </c>
      <c r="D17" s="43"/>
      <c r="E17" s="43"/>
      <c r="F17" s="43"/>
      <c r="G17" s="43"/>
      <c r="H17" s="43"/>
      <c r="I17" s="43"/>
      <c r="J17" s="8"/>
      <c r="K17" s="49">
        <f>'Portage Bill'!L16</f>
        <v>0</v>
      </c>
    </row>
    <row r="18" spans="1:13" ht="15" customHeight="1" x14ac:dyDescent="0.4">
      <c r="A18" s="351" t="s">
        <v>50</v>
      </c>
      <c r="B18" s="43"/>
      <c r="C18" s="81" t="str">
        <f>'Portage Bill'!J6</f>
        <v>FIDELITY</v>
      </c>
      <c r="D18" s="43"/>
      <c r="E18" s="43"/>
      <c r="F18" s="43"/>
      <c r="G18" s="43"/>
      <c r="H18" s="43"/>
      <c r="I18" s="43"/>
      <c r="J18" s="8"/>
      <c r="K18" s="49">
        <f>'Portage Bill'!J16</f>
        <v>0</v>
      </c>
    </row>
    <row r="19" spans="1:13" ht="15" customHeight="1" x14ac:dyDescent="0.4">
      <c r="A19" s="351" t="s">
        <v>50</v>
      </c>
      <c r="B19" s="43"/>
      <c r="C19" s="82" t="str">
        <f>'Portage Bill'!K5</f>
        <v>ALLOWANCE</v>
      </c>
      <c r="D19" s="43"/>
      <c r="E19" s="43"/>
      <c r="F19" s="43"/>
      <c r="G19" s="43"/>
      <c r="H19" s="43"/>
      <c r="I19" s="43"/>
      <c r="J19" s="8"/>
      <c r="K19" s="50">
        <f>'Portage Bill'!K16</f>
        <v>0</v>
      </c>
    </row>
    <row r="20" spans="1:13" ht="15" customHeight="1" x14ac:dyDescent="0.45">
      <c r="A20" s="354" t="s">
        <v>50</v>
      </c>
      <c r="B20" s="44"/>
      <c r="C20" s="280" t="str">
        <f>'Portage Bill'!P6</f>
        <v>Bonus &amp; Extras</v>
      </c>
      <c r="D20" s="69"/>
      <c r="E20" s="67"/>
      <c r="F20" s="44"/>
      <c r="G20" s="44"/>
      <c r="H20" s="44"/>
      <c r="I20" s="44"/>
      <c r="J20" s="44"/>
      <c r="K20" s="355">
        <f>'Portage Bill'!P16</f>
        <v>0</v>
      </c>
    </row>
    <row r="21" spans="1:13" ht="15" customHeight="1" x14ac:dyDescent="0.4">
      <c r="A21" s="42"/>
      <c r="B21" s="42"/>
      <c r="C21" s="42"/>
      <c r="D21" s="42"/>
      <c r="E21" s="42"/>
      <c r="F21" s="42"/>
      <c r="H21" s="51" t="s">
        <v>51</v>
      </c>
      <c r="I21" s="42"/>
      <c r="J21" s="42"/>
      <c r="K21" s="52">
        <f>SUM(K12:K20)</f>
        <v>0</v>
      </c>
    </row>
    <row r="22" spans="1:13" ht="15" customHeight="1" x14ac:dyDescent="0.4">
      <c r="A22" s="42"/>
      <c r="B22" s="42"/>
      <c r="C22" s="42"/>
      <c r="D22" s="42"/>
      <c r="E22" s="42"/>
      <c r="F22" s="42"/>
      <c r="H22" s="51"/>
      <c r="I22" s="42"/>
      <c r="J22" s="42"/>
      <c r="K22" s="52"/>
    </row>
    <row r="23" spans="1:13" ht="15" customHeight="1" x14ac:dyDescent="0.4">
      <c r="A23" s="339" t="s">
        <v>135</v>
      </c>
      <c r="B23" s="340"/>
      <c r="C23" s="340"/>
      <c r="D23" s="340"/>
      <c r="E23" s="340"/>
      <c r="F23" s="340"/>
      <c r="G23" s="341"/>
      <c r="H23" s="342"/>
      <c r="I23" s="340"/>
      <c r="J23" s="340"/>
      <c r="K23" s="356">
        <f>'Portage Bill'!AB16</f>
        <v>0</v>
      </c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339" t="s">
        <v>138</v>
      </c>
      <c r="B25" s="340"/>
      <c r="C25" s="340"/>
      <c r="D25" s="340"/>
      <c r="E25" s="340"/>
      <c r="F25" s="340"/>
      <c r="G25" s="341"/>
      <c r="H25" s="342"/>
      <c r="I25" s="340"/>
      <c r="J25" s="340"/>
      <c r="K25" s="356">
        <f>'Portage Bill'!AC16</f>
        <v>0</v>
      </c>
    </row>
    <row r="26" spans="1:13" ht="15" customHeight="1" x14ac:dyDescent="0.4">
      <c r="A26" s="363"/>
      <c r="B26" s="8"/>
      <c r="C26" s="8"/>
      <c r="D26" s="8"/>
      <c r="E26" s="8"/>
      <c r="F26" s="8"/>
      <c r="G26" s="1"/>
      <c r="H26" s="364"/>
      <c r="I26" s="8"/>
      <c r="J26" s="8"/>
      <c r="K26" s="365"/>
    </row>
    <row r="27" spans="1:13" ht="15" customHeight="1" x14ac:dyDescent="0.4">
      <c r="A27" s="339"/>
      <c r="B27" s="340"/>
      <c r="C27" s="340"/>
      <c r="D27" s="340"/>
      <c r="E27" s="340"/>
      <c r="F27" s="340"/>
      <c r="G27" s="342" t="s">
        <v>139</v>
      </c>
      <c r="H27" s="342"/>
      <c r="I27" s="340"/>
      <c r="J27" s="340"/>
      <c r="K27" s="356">
        <f>SUM(K21:K26)</f>
        <v>0</v>
      </c>
      <c r="M27" s="42"/>
    </row>
    <row r="28" spans="1:13" ht="15" customHeight="1" x14ac:dyDescent="0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357" t="s">
        <v>52</v>
      </c>
      <c r="B29" s="358"/>
      <c r="C29" s="358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88" t="str">
        <f>'Portage Bill'!X7</f>
        <v>Telecon</v>
      </c>
      <c r="B30" s="8"/>
      <c r="C30" s="62">
        <f>'Portage Bill'!X16</f>
        <v>0</v>
      </c>
      <c r="D30" s="42"/>
      <c r="E30" s="42"/>
      <c r="F30" s="42"/>
      <c r="G30" s="42"/>
      <c r="H30" s="42"/>
      <c r="I30" s="42"/>
      <c r="J30" s="42"/>
      <c r="K30" s="62"/>
      <c r="M30" s="42"/>
    </row>
    <row r="31" spans="1:13" ht="15" customHeight="1" x14ac:dyDescent="0.4">
      <c r="A31" s="351" t="s">
        <v>53</v>
      </c>
      <c r="B31" s="8"/>
      <c r="C31" s="62">
        <f>'Portage Bill'!W16</f>
        <v>0</v>
      </c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351" t="s">
        <v>54</v>
      </c>
      <c r="B32" s="8"/>
      <c r="C32" s="62">
        <f>'Portage Bill'!U16</f>
        <v>0</v>
      </c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351" t="s">
        <v>54</v>
      </c>
      <c r="B33" s="8"/>
      <c r="C33" s="62">
        <f>'Portage Bill'!V16</f>
        <v>0</v>
      </c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351" t="s">
        <v>98</v>
      </c>
      <c r="B34" s="8"/>
      <c r="C34" s="62">
        <f>'Portage Bill'!T16</f>
        <v>0</v>
      </c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351" t="s">
        <v>92</v>
      </c>
      <c r="B35" s="8"/>
      <c r="C35" s="62">
        <f>'Portage Bill'!Y16</f>
        <v>0</v>
      </c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351" t="str">
        <f>'Portage Bill'!R7</f>
        <v>***Leave pay</v>
      </c>
      <c r="B36" s="8"/>
      <c r="C36" s="343">
        <f>'Portage Bill'!R16</f>
        <v>0</v>
      </c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351" t="s">
        <v>55</v>
      </c>
      <c r="B37" s="8"/>
      <c r="C37" s="43"/>
      <c r="D37" s="42"/>
      <c r="E37" s="42"/>
      <c r="F37" s="42"/>
      <c r="G37" s="42"/>
      <c r="H37" s="42"/>
      <c r="I37" s="42"/>
      <c r="J37" s="42"/>
      <c r="K37" s="42"/>
    </row>
    <row r="38" spans="1:13" ht="13.5" customHeight="1" x14ac:dyDescent="0.4">
      <c r="A38" s="359" t="str">
        <f>'deduct list'!W9</f>
        <v>Accumulated Leave pay</v>
      </c>
      <c r="B38" s="44"/>
      <c r="C38" s="44"/>
      <c r="D38" s="42"/>
      <c r="E38" s="294">
        <f>'deduct list'!W18</f>
        <v>0</v>
      </c>
      <c r="F38" s="42"/>
      <c r="G38" s="42"/>
      <c r="H38" s="45"/>
      <c r="I38" s="42"/>
      <c r="J38" s="42"/>
      <c r="K38" s="50"/>
    </row>
    <row r="39" spans="1:13" ht="15" customHeight="1" x14ac:dyDescent="0.4">
      <c r="A39" s="369" t="s">
        <v>56</v>
      </c>
      <c r="B39" s="18"/>
      <c r="C39" s="371">
        <f>SUM(C30:C38)</f>
        <v>0</v>
      </c>
      <c r="D39" s="147"/>
      <c r="E39" s="147"/>
      <c r="F39" s="147"/>
      <c r="G39" s="179"/>
      <c r="H39" s="179"/>
      <c r="I39" s="179"/>
      <c r="J39" s="179"/>
      <c r="K39" s="360"/>
    </row>
    <row r="40" spans="1:13" ht="15" customHeight="1" x14ac:dyDescent="0.45">
      <c r="A40" s="48"/>
      <c r="B40" s="42"/>
      <c r="C40" s="62"/>
      <c r="D40" s="147"/>
      <c r="E40" s="147"/>
      <c r="F40" s="147"/>
      <c r="G40" s="147"/>
      <c r="H40" s="367" t="s">
        <v>136</v>
      </c>
      <c r="I40" s="75"/>
      <c r="J40" s="75"/>
      <c r="K40" s="370">
        <f>'Portage Bill'!S16</f>
        <v>0</v>
      </c>
    </row>
    <row r="41" spans="1:13" ht="15" customHeight="1" x14ac:dyDescent="0.45">
      <c r="A41" s="48"/>
      <c r="B41" s="42"/>
      <c r="C41" s="368"/>
      <c r="D41" s="147"/>
      <c r="E41" s="147"/>
      <c r="F41" s="147"/>
      <c r="G41" s="147"/>
      <c r="H41" s="367"/>
      <c r="I41" s="75"/>
      <c r="J41" s="75"/>
      <c r="K41" s="361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366" t="s">
        <v>137</v>
      </c>
      <c r="I42" s="362"/>
      <c r="J42" s="75"/>
      <c r="K42" s="366">
        <f>'Portage Bill'!AD16</f>
        <v>0</v>
      </c>
    </row>
    <row r="43" spans="1:13" ht="22.5" customHeight="1" x14ac:dyDescent="0.4">
      <c r="A43" s="155" t="s">
        <v>57</v>
      </c>
      <c r="B43" s="147"/>
      <c r="C43" s="165"/>
      <c r="D43" s="165"/>
      <c r="E43" s="208"/>
      <c r="F43" s="179" t="s">
        <v>58</v>
      </c>
      <c r="G43" s="154"/>
      <c r="H43" s="208"/>
      <c r="I43" s="165"/>
      <c r="J43" s="165"/>
      <c r="K43" s="165"/>
    </row>
    <row r="44" spans="1:13" ht="15" customHeight="1" x14ac:dyDescent="0.4">
      <c r="A44" s="155" t="s">
        <v>59</v>
      </c>
      <c r="B44" s="14"/>
      <c r="C44" s="209"/>
      <c r="D44" s="209"/>
      <c r="E44" s="209"/>
      <c r="F44" s="209"/>
      <c r="G44" s="209"/>
      <c r="H44" s="209"/>
      <c r="I44" s="209"/>
      <c r="J44" s="209"/>
      <c r="K44" s="209"/>
    </row>
    <row r="45" spans="1:13" ht="15" customHeight="1" x14ac:dyDescent="0.4">
      <c r="A45" s="155" t="s">
        <v>60</v>
      </c>
      <c r="B45" s="14"/>
      <c r="C45" s="14"/>
      <c r="D45" s="14"/>
      <c r="E45" s="210"/>
      <c r="F45" s="209"/>
      <c r="G45" s="209"/>
      <c r="H45" s="209"/>
      <c r="I45" s="209"/>
      <c r="J45" s="209"/>
      <c r="K45" s="209"/>
    </row>
    <row r="46" spans="1:13" ht="15" customHeight="1" x14ac:dyDescent="0.4">
      <c r="A46" s="155" t="s">
        <v>61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3" ht="21" customHeight="1" x14ac:dyDescent="0.4">
      <c r="A47" s="211" t="s">
        <v>106</v>
      </c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 t="s">
        <v>62</v>
      </c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1" ht="15" customHeight="1" x14ac:dyDescent="0.4">
      <c r="A49" s="147"/>
      <c r="B49" s="14"/>
      <c r="C49" s="14"/>
      <c r="D49" s="14"/>
      <c r="E49" s="179" t="s">
        <v>30</v>
      </c>
      <c r="F49" s="214"/>
      <c r="G49" s="233">
        <f>'Portage Bill'!K2</f>
        <v>41394</v>
      </c>
      <c r="H49" s="14"/>
      <c r="I49" s="14"/>
      <c r="J49" s="14"/>
      <c r="K49" s="14"/>
    </row>
    <row r="50" spans="1:11" ht="24" customHeight="1" x14ac:dyDescent="0.4">
      <c r="A50" s="43"/>
      <c r="B50" s="53"/>
      <c r="C50" s="53"/>
      <c r="D50" s="53"/>
      <c r="G50" s="1"/>
      <c r="H50" s="53"/>
      <c r="I50" s="53"/>
      <c r="J50" s="53"/>
      <c r="K50" s="53"/>
    </row>
    <row r="51" spans="1:11" ht="15" customHeight="1" x14ac:dyDescent="0.35">
      <c r="A51" s="58" t="s">
        <v>63</v>
      </c>
      <c r="B51" s="56"/>
      <c r="C51" s="56"/>
      <c r="D51" s="56"/>
      <c r="H51" s="59" t="s">
        <v>64</v>
      </c>
      <c r="I51" s="57"/>
      <c r="J51" s="57"/>
      <c r="K51" s="57"/>
    </row>
    <row r="52" spans="1:11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1" ht="17.100000000000001" customHeight="1" x14ac:dyDescent="0.35">
      <c r="J53" s="55" t="s">
        <v>65</v>
      </c>
    </row>
    <row r="54" spans="1:11" ht="17.100000000000001" customHeight="1" x14ac:dyDescent="0.35"/>
  </sheetData>
  <sheetProtection formatCells="0" formatColumns="0" formatRows="0"/>
  <phoneticPr fontId="14" type="noConversion"/>
  <pageMargins left="1.29" right="0.4" top="0.5" bottom="0.98425196850393704" header="0.51181102362204722" footer="0.51181102362204722"/>
  <pageSetup paperSize="9" scale="92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M54"/>
  <sheetViews>
    <sheetView view="pageLayout" zoomScaleNormal="112" workbookViewId="0">
      <selection activeCell="A2" sqref="A2:C4"/>
    </sheetView>
  </sheetViews>
  <sheetFormatPr defaultRowHeight="12.75" x14ac:dyDescent="0.35"/>
  <cols>
    <col min="1" max="1" width="10.33203125" customWidth="1"/>
    <col min="2" max="2" width="11.53125" customWidth="1"/>
    <col min="3" max="3" width="11.86328125" customWidth="1"/>
    <col min="4" max="4" width="4.1328125" customWidth="1"/>
    <col min="5" max="5" width="11" customWidth="1"/>
    <col min="6" max="6" width="3.33203125" customWidth="1"/>
    <col min="7" max="7" width="8" customWidth="1"/>
    <col min="8" max="8" width="7.46484375" customWidth="1"/>
    <col min="9" max="9" width="8.33203125" customWidth="1"/>
    <col min="10" max="10" width="8.53125" customWidth="1"/>
    <col min="11" max="11" width="10.46484375" customWidth="1"/>
  </cols>
  <sheetData>
    <row r="1" spans="1:11" ht="13.15" x14ac:dyDescent="0.4">
      <c r="A1" s="147"/>
      <c r="B1" s="147"/>
      <c r="C1" s="147"/>
      <c r="D1" s="147"/>
      <c r="E1" s="147"/>
      <c r="F1" s="147"/>
      <c r="G1" s="147"/>
      <c r="H1" s="147"/>
      <c r="I1" s="148" t="s">
        <v>80</v>
      </c>
      <c r="J1" s="149" t="s">
        <v>82</v>
      </c>
      <c r="K1" s="150" t="s">
        <v>89</v>
      </c>
    </row>
    <row r="2" spans="1:11" ht="13.15" x14ac:dyDescent="0.4">
      <c r="A2" s="147"/>
      <c r="B2" s="147"/>
      <c r="C2" s="147"/>
      <c r="D2" s="147"/>
      <c r="E2" s="147"/>
      <c r="F2" s="147"/>
      <c r="G2" s="147"/>
      <c r="H2" s="147"/>
      <c r="I2" s="148" t="s">
        <v>81</v>
      </c>
      <c r="J2" s="149" t="s">
        <v>82</v>
      </c>
      <c r="K2" s="151" t="s">
        <v>83</v>
      </c>
    </row>
    <row r="3" spans="1:11" ht="19.899999999999999" x14ac:dyDescent="0.5">
      <c r="A3" s="147"/>
      <c r="B3" s="147"/>
      <c r="C3" s="147"/>
      <c r="D3" s="319" t="s">
        <v>32</v>
      </c>
      <c r="E3" s="147"/>
      <c r="F3" s="147"/>
      <c r="G3" s="147"/>
      <c r="H3" s="147"/>
      <c r="I3" s="153"/>
      <c r="J3" s="154"/>
      <c r="K3" s="154"/>
    </row>
    <row r="4" spans="1:11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</row>
    <row r="6" spans="1:11" ht="15" x14ac:dyDescent="0.4">
      <c r="A6" s="155" t="str">
        <f>'Portage Bill'!B3</f>
        <v xml:space="preserve">Vessel:     </v>
      </c>
      <c r="B6" s="156">
        <f>'Portage Bill'!C3</f>
        <v>0</v>
      </c>
      <c r="C6" s="157"/>
      <c r="D6" s="158"/>
      <c r="E6" s="159"/>
      <c r="F6" s="147"/>
      <c r="G6" s="147"/>
      <c r="H6" s="155" t="s">
        <v>33</v>
      </c>
      <c r="I6" s="155"/>
      <c r="J6" s="160" t="s">
        <v>34</v>
      </c>
      <c r="K6" s="161"/>
    </row>
    <row r="7" spans="1:11" ht="15" customHeight="1" x14ac:dyDescent="0.4">
      <c r="A7" s="147"/>
      <c r="B7" s="147"/>
      <c r="C7" s="147"/>
      <c r="D7" s="147"/>
      <c r="E7" s="147"/>
      <c r="F7" s="147"/>
      <c r="G7" s="147"/>
      <c r="H7" s="155" t="s">
        <v>35</v>
      </c>
      <c r="I7" s="155"/>
      <c r="J7" s="162"/>
      <c r="K7" s="163">
        <f>'Portage Bill'!F68</f>
        <v>0</v>
      </c>
    </row>
    <row r="8" spans="1:11" ht="15" customHeight="1" x14ac:dyDescent="0.4">
      <c r="A8" s="155" t="s">
        <v>36</v>
      </c>
      <c r="B8" s="164">
        <f>'Portage Bill'!B17</f>
        <v>0</v>
      </c>
      <c r="C8" s="165"/>
      <c r="D8" s="165"/>
      <c r="E8" s="147"/>
      <c r="F8" s="147"/>
      <c r="G8" s="147"/>
      <c r="H8" s="155" t="s">
        <v>37</v>
      </c>
      <c r="I8" s="155"/>
      <c r="J8" s="162"/>
      <c r="K8" s="163">
        <f>'Portage Bill'!J68</f>
        <v>0</v>
      </c>
    </row>
    <row r="9" spans="1:11" ht="15" customHeight="1" x14ac:dyDescent="0.4">
      <c r="A9" s="155" t="s">
        <v>38</v>
      </c>
      <c r="B9" s="166" t="str">
        <f>'Portage Bill'!D17</f>
        <v>Bosun</v>
      </c>
      <c r="C9" s="165"/>
      <c r="D9" s="147"/>
      <c r="E9" s="147"/>
      <c r="F9" s="147"/>
      <c r="G9" s="147"/>
      <c r="H9" s="155" t="s">
        <v>39</v>
      </c>
      <c r="I9" s="155"/>
      <c r="J9" s="155"/>
      <c r="K9" s="147"/>
    </row>
    <row r="10" spans="1:11" ht="15" customHeight="1" x14ac:dyDescent="0.4">
      <c r="A10" s="155" t="s">
        <v>40</v>
      </c>
      <c r="B10" s="167"/>
      <c r="C10" s="168"/>
      <c r="D10" s="147"/>
      <c r="E10" s="147"/>
      <c r="F10" s="147"/>
      <c r="G10" s="155" t="s">
        <v>41</v>
      </c>
      <c r="H10" s="169"/>
      <c r="I10" s="155" t="s">
        <v>42</v>
      </c>
      <c r="J10" s="316"/>
      <c r="K10" s="171"/>
    </row>
    <row r="11" spans="1:11" ht="15" customHeight="1" x14ac:dyDescent="0.4">
      <c r="A11" s="155"/>
      <c r="B11" s="334"/>
      <c r="C11" s="335"/>
      <c r="D11" s="147"/>
      <c r="E11" s="147"/>
      <c r="F11" s="147"/>
      <c r="G11" s="155"/>
      <c r="H11" s="336"/>
      <c r="I11" s="155"/>
      <c r="J11" s="316"/>
      <c r="K11" s="337"/>
    </row>
    <row r="12" spans="1:11" ht="15" customHeight="1" x14ac:dyDescent="0.4">
      <c r="A12" s="344" t="s">
        <v>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</row>
    <row r="13" spans="1:11" ht="15" customHeight="1" x14ac:dyDescent="0.4">
      <c r="A13" s="346" t="s">
        <v>44</v>
      </c>
      <c r="B13" s="338"/>
      <c r="C13" s="175">
        <f>'Portage Bill'!G2</f>
        <v>41365</v>
      </c>
      <c r="D13" s="347" t="s">
        <v>45</v>
      </c>
      <c r="E13" s="175">
        <f>'Portage Bill'!K2</f>
        <v>41394</v>
      </c>
      <c r="F13" s="348" t="s">
        <v>46</v>
      </c>
      <c r="G13" s="177" t="s">
        <v>114</v>
      </c>
      <c r="H13" s="347" t="s">
        <v>47</v>
      </c>
      <c r="I13" s="178">
        <f>'Portage Bill'!F17</f>
        <v>0</v>
      </c>
      <c r="J13" s="347" t="s">
        <v>43</v>
      </c>
      <c r="K13" s="163">
        <f>'Portage Bill'!G17</f>
        <v>0</v>
      </c>
    </row>
    <row r="14" spans="1:11" ht="15" customHeight="1" x14ac:dyDescent="0.4">
      <c r="A14" s="349" t="s">
        <v>140</v>
      </c>
      <c r="B14" s="350"/>
      <c r="C14" s="43"/>
      <c r="D14" s="43"/>
      <c r="E14" s="43"/>
      <c r="F14" s="351"/>
      <c r="G14" s="8"/>
      <c r="H14" s="43"/>
      <c r="I14" s="352"/>
      <c r="J14" s="353"/>
      <c r="K14" s="49">
        <f>'Portage Bill'!I17</f>
        <v>0</v>
      </c>
    </row>
    <row r="15" spans="1:11" ht="15" customHeight="1" x14ac:dyDescent="0.4">
      <c r="A15" s="349" t="s">
        <v>48</v>
      </c>
      <c r="B15" s="83"/>
      <c r="C15" s="43"/>
      <c r="D15" s="43"/>
      <c r="E15" s="43"/>
      <c r="F15" s="43"/>
      <c r="G15" s="43"/>
      <c r="H15" s="43"/>
      <c r="I15" s="43"/>
      <c r="J15" s="8"/>
      <c r="K15" s="49">
        <f>'Portage Bill'!N17</f>
        <v>0</v>
      </c>
    </row>
    <row r="16" spans="1:11" ht="15" customHeight="1" x14ac:dyDescent="0.4">
      <c r="A16" s="349" t="s">
        <v>49</v>
      </c>
      <c r="B16" s="84"/>
      <c r="C16" s="46" t="s">
        <v>18</v>
      </c>
      <c r="D16" s="43"/>
      <c r="E16" s="43"/>
      <c r="F16" s="43"/>
      <c r="G16" s="43"/>
      <c r="H16" s="43"/>
      <c r="I16" s="43"/>
      <c r="J16" s="8"/>
      <c r="K16" s="49">
        <f>'Portage Bill'!O17</f>
        <v>0</v>
      </c>
    </row>
    <row r="17" spans="1:13" ht="15" customHeight="1" x14ac:dyDescent="0.4">
      <c r="A17" s="349" t="s">
        <v>50</v>
      </c>
      <c r="B17" s="81"/>
      <c r="C17" s="274" t="str">
        <f>'Portage Bill'!L5</f>
        <v>Travelling</v>
      </c>
      <c r="D17" s="43"/>
      <c r="E17" s="43"/>
      <c r="F17" s="43"/>
      <c r="G17" s="43"/>
      <c r="H17" s="43"/>
      <c r="I17" s="43"/>
      <c r="J17" s="8"/>
      <c r="K17" s="49">
        <f>'Portage Bill'!L17</f>
        <v>0</v>
      </c>
    </row>
    <row r="18" spans="1:13" ht="15" customHeight="1" x14ac:dyDescent="0.4">
      <c r="A18" s="351" t="s">
        <v>50</v>
      </c>
      <c r="B18" s="43"/>
      <c r="C18" s="81" t="str">
        <f>'Portage Bill'!J6</f>
        <v>FIDELITY</v>
      </c>
      <c r="D18" s="43"/>
      <c r="E18" s="43"/>
      <c r="F18" s="43"/>
      <c r="G18" s="43"/>
      <c r="H18" s="43"/>
      <c r="I18" s="43"/>
      <c r="J18" s="8"/>
      <c r="K18" s="49">
        <f>'Portage Bill'!J17</f>
        <v>0</v>
      </c>
    </row>
    <row r="19" spans="1:13" ht="15" customHeight="1" x14ac:dyDescent="0.4">
      <c r="A19" s="351" t="s">
        <v>50</v>
      </c>
      <c r="B19" s="43"/>
      <c r="C19" s="82" t="str">
        <f>'Portage Bill'!K5</f>
        <v>ALLOWANCE</v>
      </c>
      <c r="D19" s="43"/>
      <c r="E19" s="43"/>
      <c r="F19" s="43"/>
      <c r="G19" s="43"/>
      <c r="H19" s="43"/>
      <c r="I19" s="43"/>
      <c r="J19" s="8"/>
      <c r="K19" s="50">
        <f>'Portage Bill'!K17</f>
        <v>0</v>
      </c>
    </row>
    <row r="20" spans="1:13" ht="15" customHeight="1" x14ac:dyDescent="0.45">
      <c r="A20" s="354" t="s">
        <v>50</v>
      </c>
      <c r="B20" s="44"/>
      <c r="C20" s="280" t="str">
        <f>'Portage Bill'!P6</f>
        <v>Bonus &amp; Extras</v>
      </c>
      <c r="D20" s="69"/>
      <c r="E20" s="67"/>
      <c r="F20" s="44"/>
      <c r="G20" s="44"/>
      <c r="H20" s="44"/>
      <c r="I20" s="44"/>
      <c r="J20" s="44"/>
      <c r="K20" s="355">
        <f>'Portage Bill'!P17</f>
        <v>0</v>
      </c>
    </row>
    <row r="21" spans="1:13" ht="15" customHeight="1" x14ac:dyDescent="0.4">
      <c r="A21" s="42"/>
      <c r="B21" s="42"/>
      <c r="C21" s="42"/>
      <c r="D21" s="42"/>
      <c r="E21" s="42"/>
      <c r="F21" s="42"/>
      <c r="H21" s="51" t="s">
        <v>51</v>
      </c>
      <c r="I21" s="42"/>
      <c r="J21" s="42"/>
      <c r="K21" s="52">
        <f>SUM(K12:K20)</f>
        <v>0</v>
      </c>
    </row>
    <row r="22" spans="1:13" ht="15" customHeight="1" x14ac:dyDescent="0.4">
      <c r="A22" s="42"/>
      <c r="B22" s="42"/>
      <c r="C22" s="42"/>
      <c r="D22" s="42"/>
      <c r="E22" s="42"/>
      <c r="F22" s="42"/>
      <c r="H22" s="51"/>
      <c r="I22" s="42"/>
      <c r="J22" s="42"/>
      <c r="K22" s="52"/>
    </row>
    <row r="23" spans="1:13" ht="15" customHeight="1" x14ac:dyDescent="0.4">
      <c r="A23" s="339" t="s">
        <v>135</v>
      </c>
      <c r="B23" s="340"/>
      <c r="C23" s="340"/>
      <c r="D23" s="340"/>
      <c r="E23" s="340"/>
      <c r="F23" s="340"/>
      <c r="G23" s="341"/>
      <c r="H23" s="342"/>
      <c r="I23" s="340"/>
      <c r="J23" s="340"/>
      <c r="K23" s="356">
        <f>'Portage Bill'!AB17</f>
        <v>0</v>
      </c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339" t="s">
        <v>138</v>
      </c>
      <c r="B25" s="340"/>
      <c r="C25" s="340"/>
      <c r="D25" s="340"/>
      <c r="E25" s="340"/>
      <c r="F25" s="340"/>
      <c r="G25" s="341"/>
      <c r="H25" s="342"/>
      <c r="I25" s="340"/>
      <c r="J25" s="340"/>
      <c r="K25" s="356">
        <f>'Portage Bill'!AC17</f>
        <v>0</v>
      </c>
    </row>
    <row r="26" spans="1:13" ht="15" customHeight="1" x14ac:dyDescent="0.4">
      <c r="A26" s="363"/>
      <c r="B26" s="8"/>
      <c r="C26" s="8"/>
      <c r="D26" s="8"/>
      <c r="E26" s="8"/>
      <c r="F26" s="8"/>
      <c r="G26" s="1"/>
      <c r="H26" s="364"/>
      <c r="I26" s="8"/>
      <c r="J26" s="8"/>
      <c r="K26" s="365"/>
    </row>
    <row r="27" spans="1:13" ht="15" customHeight="1" x14ac:dyDescent="0.4">
      <c r="A27" s="339"/>
      <c r="B27" s="340"/>
      <c r="C27" s="340"/>
      <c r="D27" s="340"/>
      <c r="E27" s="340"/>
      <c r="F27" s="340"/>
      <c r="G27" s="342" t="s">
        <v>139</v>
      </c>
      <c r="H27" s="342"/>
      <c r="I27" s="340"/>
      <c r="J27" s="340"/>
      <c r="K27" s="356">
        <f>SUM(K21:K26)</f>
        <v>0</v>
      </c>
      <c r="M27" s="42"/>
    </row>
    <row r="28" spans="1:13" ht="15" customHeight="1" x14ac:dyDescent="0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357" t="s">
        <v>52</v>
      </c>
      <c r="B29" s="358"/>
      <c r="C29" s="358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88" t="str">
        <f>'Portage Bill'!X7</f>
        <v>Telecon</v>
      </c>
      <c r="B30" s="8"/>
      <c r="C30" s="62">
        <f>'Portage Bill'!X17</f>
        <v>0</v>
      </c>
      <c r="D30" s="42"/>
      <c r="E30" s="42"/>
      <c r="F30" s="42"/>
      <c r="G30" s="42"/>
      <c r="H30" s="42"/>
      <c r="I30" s="42"/>
      <c r="J30" s="42"/>
      <c r="K30" s="62"/>
      <c r="M30" s="42"/>
    </row>
    <row r="31" spans="1:13" ht="15" customHeight="1" x14ac:dyDescent="0.4">
      <c r="A31" s="351" t="s">
        <v>53</v>
      </c>
      <c r="B31" s="8"/>
      <c r="C31" s="62">
        <f>'Portage Bill'!W17</f>
        <v>0</v>
      </c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351" t="s">
        <v>54</v>
      </c>
      <c r="B32" s="8"/>
      <c r="C32" s="62">
        <f>'Portage Bill'!U17</f>
        <v>0</v>
      </c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351" t="s">
        <v>54</v>
      </c>
      <c r="B33" s="8"/>
      <c r="C33" s="62">
        <f>'Portage Bill'!V17</f>
        <v>0</v>
      </c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351" t="s">
        <v>98</v>
      </c>
      <c r="B34" s="8"/>
      <c r="C34" s="62">
        <f>'Portage Bill'!T17</f>
        <v>0</v>
      </c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351" t="s">
        <v>92</v>
      </c>
      <c r="B35" s="8"/>
      <c r="C35" s="62">
        <f>'Portage Bill'!Y17</f>
        <v>0</v>
      </c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351" t="str">
        <f>'Portage Bill'!R7</f>
        <v>***Leave pay</v>
      </c>
      <c r="B36" s="8"/>
      <c r="C36" s="343">
        <f>'Portage Bill'!R17</f>
        <v>0</v>
      </c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351" t="s">
        <v>55</v>
      </c>
      <c r="B37" s="8"/>
      <c r="C37" s="43"/>
      <c r="D37" s="42"/>
      <c r="E37" s="42"/>
      <c r="F37" s="42"/>
      <c r="G37" s="42"/>
      <c r="H37" s="42"/>
      <c r="I37" s="42"/>
      <c r="J37" s="42"/>
      <c r="K37" s="42"/>
    </row>
    <row r="38" spans="1:13" ht="15" customHeight="1" x14ac:dyDescent="0.4">
      <c r="A38" s="359" t="str">
        <f>'deduct list'!W9</f>
        <v>Accumulated Leave pay</v>
      </c>
      <c r="B38" s="44"/>
      <c r="C38" s="44"/>
      <c r="D38" s="42"/>
      <c r="E38" s="294">
        <f>'deduct list'!W19</f>
        <v>0</v>
      </c>
      <c r="F38" s="42"/>
      <c r="G38" s="42"/>
      <c r="H38" s="45"/>
      <c r="I38" s="42"/>
      <c r="J38" s="42"/>
      <c r="K38" s="50"/>
    </row>
    <row r="39" spans="1:13" ht="15" customHeight="1" x14ac:dyDescent="0.4">
      <c r="A39" s="369" t="s">
        <v>56</v>
      </c>
      <c r="B39" s="18"/>
      <c r="C39" s="371">
        <f>SUM(C30:C38)</f>
        <v>0</v>
      </c>
      <c r="D39" s="147"/>
      <c r="E39" s="147"/>
      <c r="F39" s="147"/>
      <c r="G39" s="179"/>
      <c r="H39" s="179"/>
      <c r="I39" s="179"/>
      <c r="J39" s="179"/>
      <c r="K39" s="360"/>
    </row>
    <row r="40" spans="1:13" ht="15" customHeight="1" x14ac:dyDescent="0.45">
      <c r="A40" s="48"/>
      <c r="B40" s="42"/>
      <c r="C40" s="62"/>
      <c r="D40" s="147"/>
      <c r="E40" s="147"/>
      <c r="F40" s="147"/>
      <c r="G40" s="147"/>
      <c r="H40" s="367" t="s">
        <v>136</v>
      </c>
      <c r="I40" s="75"/>
      <c r="J40" s="75"/>
      <c r="K40" s="370">
        <f>'Portage Bill'!S17</f>
        <v>0</v>
      </c>
    </row>
    <row r="41" spans="1:13" ht="15" customHeight="1" x14ac:dyDescent="0.45">
      <c r="A41" s="48"/>
      <c r="B41" s="42"/>
      <c r="C41" s="368"/>
      <c r="D41" s="147"/>
      <c r="E41" s="147"/>
      <c r="F41" s="147"/>
      <c r="G41" s="147"/>
      <c r="H41" s="367"/>
      <c r="I41" s="75"/>
      <c r="J41" s="75"/>
      <c r="K41" s="361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366" t="s">
        <v>137</v>
      </c>
      <c r="I42" s="362"/>
      <c r="J42" s="75"/>
      <c r="K42" s="366">
        <f>'Portage Bill'!AD17</f>
        <v>0</v>
      </c>
    </row>
    <row r="43" spans="1:13" ht="22.5" customHeight="1" x14ac:dyDescent="0.4">
      <c r="A43" s="155" t="s">
        <v>57</v>
      </c>
      <c r="B43" s="147"/>
      <c r="C43" s="165"/>
      <c r="D43" s="165"/>
      <c r="E43" s="208"/>
      <c r="F43" s="179" t="s">
        <v>58</v>
      </c>
      <c r="G43" s="154"/>
      <c r="H43" s="208"/>
      <c r="I43" s="165"/>
      <c r="J43" s="165"/>
      <c r="K43" s="165"/>
    </row>
    <row r="44" spans="1:13" ht="15" customHeight="1" x14ac:dyDescent="0.4">
      <c r="A44" s="155" t="s">
        <v>59</v>
      </c>
      <c r="B44" s="14"/>
      <c r="C44" s="209"/>
      <c r="D44" s="209"/>
      <c r="E44" s="209"/>
      <c r="F44" s="209"/>
      <c r="G44" s="209"/>
      <c r="H44" s="209"/>
      <c r="I44" s="209"/>
      <c r="J44" s="209"/>
      <c r="K44" s="209"/>
    </row>
    <row r="45" spans="1:13" ht="15" customHeight="1" x14ac:dyDescent="0.4">
      <c r="A45" s="155" t="s">
        <v>60</v>
      </c>
      <c r="B45" s="14"/>
      <c r="C45" s="14"/>
      <c r="D45" s="14"/>
      <c r="E45" s="210"/>
      <c r="F45" s="209"/>
      <c r="G45" s="209"/>
      <c r="H45" s="209"/>
      <c r="I45" s="209"/>
      <c r="J45" s="209"/>
      <c r="K45" s="209"/>
    </row>
    <row r="46" spans="1:13" ht="15" customHeight="1" x14ac:dyDescent="0.4">
      <c r="A46" s="155" t="s">
        <v>61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3" ht="21" customHeight="1" x14ac:dyDescent="0.4">
      <c r="A47" s="211" t="s">
        <v>106</v>
      </c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 t="s">
        <v>62</v>
      </c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1" ht="15" customHeight="1" x14ac:dyDescent="0.4">
      <c r="A49" s="147"/>
      <c r="B49" s="14"/>
      <c r="C49" s="14"/>
      <c r="D49" s="14"/>
      <c r="E49" s="179" t="s">
        <v>30</v>
      </c>
      <c r="F49" s="214"/>
      <c r="G49" s="233">
        <f>'Portage Bill'!K2</f>
        <v>41394</v>
      </c>
      <c r="H49" s="14"/>
      <c r="I49" s="14"/>
      <c r="J49" s="14"/>
      <c r="K49" s="14"/>
    </row>
    <row r="50" spans="1:11" ht="24" customHeight="1" x14ac:dyDescent="0.4">
      <c r="A50" s="43"/>
      <c r="B50" s="53"/>
      <c r="C50" s="53"/>
      <c r="D50" s="53"/>
      <c r="G50" s="1"/>
      <c r="H50" s="53"/>
      <c r="I50" s="53"/>
      <c r="J50" s="53"/>
      <c r="K50" s="53"/>
    </row>
    <row r="51" spans="1:11" ht="15" customHeight="1" x14ac:dyDescent="0.35">
      <c r="A51" s="58" t="s">
        <v>63</v>
      </c>
      <c r="B51" s="56"/>
      <c r="C51" s="56"/>
      <c r="D51" s="56"/>
      <c r="H51" s="59" t="s">
        <v>64</v>
      </c>
      <c r="I51" s="57"/>
      <c r="J51" s="57"/>
      <c r="K51" s="57"/>
    </row>
    <row r="52" spans="1:11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1" ht="17.100000000000001" customHeight="1" x14ac:dyDescent="0.35">
      <c r="J53" s="55" t="s">
        <v>65</v>
      </c>
    </row>
    <row r="54" spans="1:11" ht="17.100000000000001" customHeight="1" x14ac:dyDescent="0.35"/>
  </sheetData>
  <sheetProtection formatCells="0" formatColumns="0" formatRows="0"/>
  <phoneticPr fontId="14" type="noConversion"/>
  <pageMargins left="0.74803149606299202" right="0.35433070866141703" top="0.39370078740157499" bottom="0.39370078740157499" header="0.511811023622047" footer="0.511811023622047"/>
  <pageSetup paperSize="9" scale="95"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M54"/>
  <sheetViews>
    <sheetView view="pageLayout" zoomScaleNormal="100" workbookViewId="0">
      <selection activeCell="A2" sqref="A2:C4"/>
    </sheetView>
  </sheetViews>
  <sheetFormatPr defaultRowHeight="12.75" x14ac:dyDescent="0.35"/>
  <cols>
    <col min="1" max="1" width="11" customWidth="1"/>
    <col min="2" max="2" width="9.53125" customWidth="1"/>
    <col min="3" max="3" width="11.33203125" customWidth="1"/>
    <col min="4" max="4" width="4.1328125" customWidth="1"/>
    <col min="5" max="5" width="11.1328125" customWidth="1"/>
    <col min="6" max="6" width="3.33203125" customWidth="1"/>
    <col min="7" max="7" width="6.6640625" customWidth="1"/>
    <col min="8" max="8" width="7" customWidth="1"/>
    <col min="9" max="9" width="8.1328125" customWidth="1"/>
    <col min="10" max="10" width="9.86328125" customWidth="1"/>
    <col min="11" max="11" width="9.6640625" customWidth="1"/>
  </cols>
  <sheetData>
    <row r="1" spans="1:11" ht="13.15" x14ac:dyDescent="0.4">
      <c r="A1" s="147"/>
      <c r="B1" s="147"/>
      <c r="C1" s="147"/>
      <c r="D1" s="147"/>
      <c r="E1" s="147"/>
      <c r="F1" s="147"/>
      <c r="G1" s="147"/>
      <c r="H1" s="147"/>
      <c r="I1" s="148" t="s">
        <v>80</v>
      </c>
      <c r="J1" s="149" t="s">
        <v>82</v>
      </c>
      <c r="K1" s="150" t="s">
        <v>89</v>
      </c>
    </row>
    <row r="2" spans="1:11" ht="13.15" x14ac:dyDescent="0.4">
      <c r="A2" s="147"/>
      <c r="B2" s="147"/>
      <c r="C2" s="147"/>
      <c r="D2" s="147"/>
      <c r="E2" s="147"/>
      <c r="F2" s="147"/>
      <c r="G2" s="147"/>
      <c r="H2" s="147"/>
      <c r="I2" s="148" t="s">
        <v>81</v>
      </c>
      <c r="J2" s="149" t="s">
        <v>82</v>
      </c>
      <c r="K2" s="151" t="s">
        <v>83</v>
      </c>
    </row>
    <row r="3" spans="1:11" ht="19.899999999999999" x14ac:dyDescent="0.5">
      <c r="A3" s="147"/>
      <c r="B3" s="147"/>
      <c r="C3" s="147"/>
      <c r="D3" s="319" t="s">
        <v>32</v>
      </c>
      <c r="E3" s="147"/>
      <c r="F3" s="147"/>
      <c r="G3" s="147"/>
      <c r="H3" s="147"/>
      <c r="I3" s="153"/>
      <c r="J3" s="154"/>
      <c r="K3" s="154"/>
    </row>
    <row r="4" spans="1:11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</row>
    <row r="6" spans="1:11" ht="15" x14ac:dyDescent="0.4">
      <c r="A6" s="155" t="str">
        <f>'Portage Bill'!B3</f>
        <v xml:space="preserve">Vessel:     </v>
      </c>
      <c r="B6" s="156">
        <f>'Portage Bill'!C3</f>
        <v>0</v>
      </c>
      <c r="C6" s="157"/>
      <c r="D6" s="158"/>
      <c r="E6" s="159"/>
      <c r="F6" s="147"/>
      <c r="G6" s="147"/>
      <c r="H6" s="155" t="s">
        <v>33</v>
      </c>
      <c r="I6" s="155"/>
      <c r="J6" s="160" t="s">
        <v>34</v>
      </c>
      <c r="K6" s="161"/>
    </row>
    <row r="7" spans="1:11" ht="15" customHeight="1" x14ac:dyDescent="0.4">
      <c r="A7" s="147"/>
      <c r="B7" s="147"/>
      <c r="C7" s="147"/>
      <c r="D7" s="147"/>
      <c r="E7" s="147"/>
      <c r="F7" s="147"/>
      <c r="G7" s="147"/>
      <c r="H7" s="155" t="s">
        <v>35</v>
      </c>
      <c r="I7" s="155"/>
      <c r="J7" s="162"/>
      <c r="K7" s="163">
        <f>'Portage Bill'!F69</f>
        <v>0</v>
      </c>
    </row>
    <row r="8" spans="1:11" ht="15" customHeight="1" x14ac:dyDescent="0.4">
      <c r="A8" s="155" t="s">
        <v>36</v>
      </c>
      <c r="B8" s="164">
        <f>'Portage Bill'!B18</f>
        <v>0</v>
      </c>
      <c r="C8" s="165"/>
      <c r="D8" s="165"/>
      <c r="E8" s="147"/>
      <c r="F8" s="147"/>
      <c r="G8" s="147"/>
      <c r="H8" s="155" t="s">
        <v>37</v>
      </c>
      <c r="I8" s="155"/>
      <c r="J8" s="162"/>
      <c r="K8" s="163">
        <f>'Portage Bill'!J69</f>
        <v>0</v>
      </c>
    </row>
    <row r="9" spans="1:11" ht="15" customHeight="1" x14ac:dyDescent="0.4">
      <c r="A9" s="155" t="s">
        <v>38</v>
      </c>
      <c r="B9" s="166" t="str">
        <f>'Portage Bill'!D18</f>
        <v>ABS</v>
      </c>
      <c r="C9" s="165"/>
      <c r="D9" s="147"/>
      <c r="E9" s="147"/>
      <c r="F9" s="147"/>
      <c r="G9" s="147"/>
      <c r="H9" s="155" t="s">
        <v>39</v>
      </c>
      <c r="I9" s="155"/>
      <c r="J9" s="155"/>
      <c r="K9" s="147"/>
    </row>
    <row r="10" spans="1:11" ht="15" customHeight="1" x14ac:dyDescent="0.4">
      <c r="A10" s="155" t="s">
        <v>40</v>
      </c>
      <c r="B10" s="167"/>
      <c r="C10" s="168"/>
      <c r="D10" s="147"/>
      <c r="E10" s="147"/>
      <c r="F10" s="147"/>
      <c r="G10" s="155" t="s">
        <v>41</v>
      </c>
      <c r="H10" s="169"/>
      <c r="I10" s="155" t="s">
        <v>42</v>
      </c>
      <c r="J10" s="316"/>
      <c r="K10" s="171"/>
    </row>
    <row r="11" spans="1:11" ht="15" customHeight="1" x14ac:dyDescent="0.4">
      <c r="A11" s="155"/>
      <c r="B11" s="334"/>
      <c r="C11" s="335"/>
      <c r="D11" s="147"/>
      <c r="E11" s="147"/>
      <c r="F11" s="147"/>
      <c r="G11" s="155"/>
      <c r="H11" s="336"/>
      <c r="I11" s="155"/>
      <c r="J11" s="316"/>
      <c r="K11" s="337"/>
    </row>
    <row r="12" spans="1:11" ht="15" customHeight="1" x14ac:dyDescent="0.4">
      <c r="A12" s="344" t="s">
        <v>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</row>
    <row r="13" spans="1:11" ht="15" customHeight="1" x14ac:dyDescent="0.4">
      <c r="A13" s="346" t="s">
        <v>44</v>
      </c>
      <c r="B13" s="338"/>
      <c r="C13" s="175">
        <f>'Portage Bill'!G2</f>
        <v>41365</v>
      </c>
      <c r="D13" s="347" t="s">
        <v>45</v>
      </c>
      <c r="E13" s="175">
        <f>'Portage Bill'!K2</f>
        <v>41394</v>
      </c>
      <c r="F13" s="348" t="s">
        <v>46</v>
      </c>
      <c r="G13" s="177" t="s">
        <v>114</v>
      </c>
      <c r="H13" s="347" t="s">
        <v>47</v>
      </c>
      <c r="I13" s="178">
        <f>'Portage Bill'!F18</f>
        <v>0</v>
      </c>
      <c r="J13" s="347" t="s">
        <v>43</v>
      </c>
      <c r="K13" s="163">
        <f>'Portage Bill'!G18</f>
        <v>0</v>
      </c>
    </row>
    <row r="14" spans="1:11" ht="15" customHeight="1" x14ac:dyDescent="0.4">
      <c r="A14" s="349" t="s">
        <v>140</v>
      </c>
      <c r="B14" s="350"/>
      <c r="C14" s="43"/>
      <c r="D14" s="43"/>
      <c r="E14" s="43"/>
      <c r="F14" s="351"/>
      <c r="G14" s="8"/>
      <c r="H14" s="43"/>
      <c r="I14" s="352"/>
      <c r="J14" s="353"/>
      <c r="K14" s="49">
        <f>'Portage Bill'!I18</f>
        <v>0</v>
      </c>
    </row>
    <row r="15" spans="1:11" ht="15" customHeight="1" x14ac:dyDescent="0.4">
      <c r="A15" s="349" t="s">
        <v>48</v>
      </c>
      <c r="B15" s="83"/>
      <c r="C15" s="43"/>
      <c r="D15" s="43"/>
      <c r="E15" s="43"/>
      <c r="F15" s="43"/>
      <c r="G15" s="43"/>
      <c r="H15" s="43"/>
      <c r="I15" s="43"/>
      <c r="J15" s="8"/>
      <c r="K15" s="49">
        <f>'Portage Bill'!N18</f>
        <v>0</v>
      </c>
    </row>
    <row r="16" spans="1:11" ht="15" customHeight="1" x14ac:dyDescent="0.4">
      <c r="A16" s="349" t="s">
        <v>49</v>
      </c>
      <c r="B16" s="84"/>
      <c r="C16" s="46" t="s">
        <v>18</v>
      </c>
      <c r="D16" s="43"/>
      <c r="E16" s="43"/>
      <c r="F16" s="43"/>
      <c r="G16" s="43"/>
      <c r="H16" s="43"/>
      <c r="I16" s="43"/>
      <c r="J16" s="8"/>
      <c r="K16" s="49">
        <f>'Portage Bill'!O18</f>
        <v>0</v>
      </c>
    </row>
    <row r="17" spans="1:13" ht="15" customHeight="1" x14ac:dyDescent="0.4">
      <c r="A17" s="349" t="s">
        <v>50</v>
      </c>
      <c r="B17" s="81"/>
      <c r="C17" s="274" t="str">
        <f>'Portage Bill'!L5</f>
        <v>Travelling</v>
      </c>
      <c r="D17" s="43"/>
      <c r="E17" s="43"/>
      <c r="F17" s="43"/>
      <c r="G17" s="43"/>
      <c r="H17" s="43"/>
      <c r="I17" s="43"/>
      <c r="J17" s="8"/>
      <c r="K17" s="49">
        <f>'Portage Bill'!L18</f>
        <v>0</v>
      </c>
    </row>
    <row r="18" spans="1:13" ht="15" customHeight="1" x14ac:dyDescent="0.4">
      <c r="A18" s="351" t="s">
        <v>50</v>
      </c>
      <c r="B18" s="43"/>
      <c r="C18" s="81" t="str">
        <f>'Portage Bill'!J6</f>
        <v>FIDELITY</v>
      </c>
      <c r="D18" s="43"/>
      <c r="E18" s="43"/>
      <c r="F18" s="43"/>
      <c r="G18" s="43"/>
      <c r="H18" s="43"/>
      <c r="I18" s="43"/>
      <c r="J18" s="8"/>
      <c r="K18" s="49">
        <f>'Portage Bill'!J18</f>
        <v>0</v>
      </c>
    </row>
    <row r="19" spans="1:13" ht="15" customHeight="1" x14ac:dyDescent="0.4">
      <c r="A19" s="351" t="s">
        <v>50</v>
      </c>
      <c r="B19" s="43"/>
      <c r="C19" s="82" t="str">
        <f>'Portage Bill'!K5</f>
        <v>ALLOWANCE</v>
      </c>
      <c r="D19" s="43"/>
      <c r="E19" s="43"/>
      <c r="F19" s="43"/>
      <c r="G19" s="43"/>
      <c r="H19" s="43"/>
      <c r="I19" s="43"/>
      <c r="J19" s="8"/>
      <c r="K19" s="50">
        <f>'Portage Bill'!K18</f>
        <v>0</v>
      </c>
    </row>
    <row r="20" spans="1:13" ht="15" customHeight="1" x14ac:dyDescent="0.45">
      <c r="A20" s="354" t="s">
        <v>50</v>
      </c>
      <c r="B20" s="44"/>
      <c r="C20" s="280" t="str">
        <f>'Portage Bill'!P6</f>
        <v>Bonus &amp; Extras</v>
      </c>
      <c r="D20" s="69"/>
      <c r="E20" s="67"/>
      <c r="F20" s="44"/>
      <c r="G20" s="44"/>
      <c r="H20" s="44"/>
      <c r="I20" s="44"/>
      <c r="J20" s="44"/>
      <c r="K20" s="355">
        <f>'Portage Bill'!P18</f>
        <v>0</v>
      </c>
    </row>
    <row r="21" spans="1:13" ht="15" customHeight="1" x14ac:dyDescent="0.4">
      <c r="A21" s="42"/>
      <c r="B21" s="42"/>
      <c r="C21" s="42"/>
      <c r="D21" s="42"/>
      <c r="E21" s="42"/>
      <c r="F21" s="42"/>
      <c r="H21" s="51" t="s">
        <v>51</v>
      </c>
      <c r="I21" s="42"/>
      <c r="J21" s="42"/>
      <c r="K21" s="52">
        <f>SUM(K12:K20)</f>
        <v>0</v>
      </c>
    </row>
    <row r="22" spans="1:13" ht="15" customHeight="1" x14ac:dyDescent="0.4">
      <c r="A22" s="42"/>
      <c r="B22" s="42"/>
      <c r="C22" s="42"/>
      <c r="D22" s="42"/>
      <c r="E22" s="42"/>
      <c r="F22" s="42"/>
      <c r="H22" s="51"/>
      <c r="I22" s="42"/>
      <c r="J22" s="42"/>
      <c r="K22" s="52"/>
    </row>
    <row r="23" spans="1:13" ht="15" customHeight="1" x14ac:dyDescent="0.4">
      <c r="A23" s="339" t="s">
        <v>135</v>
      </c>
      <c r="B23" s="340"/>
      <c r="C23" s="340"/>
      <c r="D23" s="340"/>
      <c r="E23" s="340"/>
      <c r="F23" s="340"/>
      <c r="G23" s="341"/>
      <c r="H23" s="342"/>
      <c r="I23" s="340"/>
      <c r="J23" s="340"/>
      <c r="K23" s="356">
        <f>'Portage Bill'!AB18</f>
        <v>0</v>
      </c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339" t="s">
        <v>138</v>
      </c>
      <c r="B25" s="340"/>
      <c r="C25" s="340"/>
      <c r="D25" s="340"/>
      <c r="E25" s="340"/>
      <c r="F25" s="340"/>
      <c r="G25" s="341"/>
      <c r="H25" s="342"/>
      <c r="I25" s="340"/>
      <c r="J25" s="340"/>
      <c r="K25" s="356">
        <f>'Portage Bill'!AC18</f>
        <v>0</v>
      </c>
    </row>
    <row r="26" spans="1:13" ht="15" customHeight="1" x14ac:dyDescent="0.4">
      <c r="A26" s="363"/>
      <c r="B26" s="8"/>
      <c r="C26" s="8"/>
      <c r="D26" s="8"/>
      <c r="E26" s="8"/>
      <c r="F26" s="8"/>
      <c r="G26" s="1"/>
      <c r="H26" s="364"/>
      <c r="I26" s="8"/>
      <c r="J26" s="8"/>
      <c r="K26" s="365"/>
    </row>
    <row r="27" spans="1:13" ht="15" customHeight="1" x14ac:dyDescent="0.4">
      <c r="A27" s="339"/>
      <c r="B27" s="340"/>
      <c r="C27" s="340"/>
      <c r="D27" s="340"/>
      <c r="E27" s="340"/>
      <c r="F27" s="340"/>
      <c r="G27" s="342" t="s">
        <v>139</v>
      </c>
      <c r="H27" s="342"/>
      <c r="I27" s="340"/>
      <c r="J27" s="340"/>
      <c r="K27" s="356">
        <f>SUM(K21:K26)</f>
        <v>0</v>
      </c>
      <c r="M27" s="42"/>
    </row>
    <row r="28" spans="1:13" ht="15" customHeight="1" x14ac:dyDescent="0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357" t="s">
        <v>52</v>
      </c>
      <c r="B29" s="358"/>
      <c r="C29" s="358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88" t="str">
        <f>'Portage Bill'!X7</f>
        <v>Telecon</v>
      </c>
      <c r="B30" s="8"/>
      <c r="C30" s="62">
        <f>'Portage Bill'!X18</f>
        <v>0</v>
      </c>
      <c r="D30" s="42"/>
      <c r="E30" s="42"/>
      <c r="F30" s="42"/>
      <c r="G30" s="42"/>
      <c r="H30" s="42"/>
      <c r="I30" s="42"/>
      <c r="J30" s="42"/>
      <c r="K30" s="62"/>
      <c r="M30" s="42"/>
    </row>
    <row r="31" spans="1:13" ht="15" customHeight="1" x14ac:dyDescent="0.4">
      <c r="A31" s="351" t="s">
        <v>53</v>
      </c>
      <c r="B31" s="8"/>
      <c r="C31" s="62">
        <f>'Portage Bill'!W18</f>
        <v>0</v>
      </c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351" t="s">
        <v>54</v>
      </c>
      <c r="B32" s="8"/>
      <c r="C32" s="62">
        <f>'Portage Bill'!U18</f>
        <v>0</v>
      </c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351" t="s">
        <v>54</v>
      </c>
      <c r="B33" s="8"/>
      <c r="C33" s="62">
        <f>'Portage Bill'!V18</f>
        <v>0</v>
      </c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351" t="s">
        <v>98</v>
      </c>
      <c r="B34" s="8"/>
      <c r="C34" s="62">
        <f>'Portage Bill'!T18</f>
        <v>0</v>
      </c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351" t="s">
        <v>92</v>
      </c>
      <c r="B35" s="8"/>
      <c r="C35" s="62">
        <f>'Portage Bill'!Y18</f>
        <v>0</v>
      </c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351" t="str">
        <f>'Portage Bill'!R7</f>
        <v>***Leave pay</v>
      </c>
      <c r="B36" s="8"/>
      <c r="C36" s="343">
        <f>'Portage Bill'!R18</f>
        <v>0</v>
      </c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351" t="s">
        <v>55</v>
      </c>
      <c r="B37" s="8"/>
      <c r="C37" s="43"/>
      <c r="D37" s="42"/>
      <c r="E37" s="42"/>
      <c r="F37" s="42"/>
      <c r="G37" s="42"/>
      <c r="H37" s="42"/>
      <c r="I37" s="42"/>
      <c r="J37" s="42"/>
      <c r="K37" s="42"/>
    </row>
    <row r="38" spans="1:13" ht="15.75" customHeight="1" x14ac:dyDescent="0.4">
      <c r="A38" s="359" t="str">
        <f>'deduct list'!W9</f>
        <v>Accumulated Leave pay</v>
      </c>
      <c r="B38" s="44"/>
      <c r="C38" s="44"/>
      <c r="D38" s="42"/>
      <c r="E38" s="294">
        <f>'deduct list'!W20</f>
        <v>0</v>
      </c>
      <c r="F38" s="42"/>
      <c r="G38" s="42"/>
      <c r="H38" s="45"/>
      <c r="I38" s="42"/>
      <c r="J38" s="42"/>
      <c r="K38" s="50"/>
    </row>
    <row r="39" spans="1:13" ht="15" customHeight="1" x14ac:dyDescent="0.4">
      <c r="A39" s="369" t="s">
        <v>56</v>
      </c>
      <c r="B39" s="18"/>
      <c r="C39" s="371">
        <f>SUM(C30:C38)</f>
        <v>0</v>
      </c>
      <c r="D39" s="147"/>
      <c r="E39" s="147"/>
      <c r="F39" s="147"/>
      <c r="G39" s="179"/>
      <c r="H39" s="179"/>
      <c r="I39" s="179"/>
      <c r="J39" s="179"/>
      <c r="K39" s="360"/>
    </row>
    <row r="40" spans="1:13" ht="15" customHeight="1" x14ac:dyDescent="0.45">
      <c r="A40" s="48"/>
      <c r="B40" s="42"/>
      <c r="C40" s="62"/>
      <c r="D40" s="147"/>
      <c r="E40" s="147"/>
      <c r="F40" s="147"/>
      <c r="G40" s="147"/>
      <c r="H40" s="367" t="s">
        <v>136</v>
      </c>
      <c r="I40" s="75"/>
      <c r="J40" s="75"/>
      <c r="K40" s="370">
        <f>'Portage Bill'!S18</f>
        <v>0</v>
      </c>
    </row>
    <row r="41" spans="1:13" ht="15" customHeight="1" x14ac:dyDescent="0.45">
      <c r="A41" s="48"/>
      <c r="B41" s="42"/>
      <c r="C41" s="368"/>
      <c r="D41" s="147"/>
      <c r="E41" s="147"/>
      <c r="F41" s="147"/>
      <c r="G41" s="147"/>
      <c r="H41" s="367"/>
      <c r="I41" s="75"/>
      <c r="J41" s="75"/>
      <c r="K41" s="361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366" t="s">
        <v>137</v>
      </c>
      <c r="I42" s="362"/>
      <c r="J42" s="75"/>
      <c r="K42" s="366">
        <f>'Portage Bill'!AD18</f>
        <v>0</v>
      </c>
    </row>
    <row r="43" spans="1:13" ht="22.5" customHeight="1" x14ac:dyDescent="0.4">
      <c r="A43" s="155" t="s">
        <v>57</v>
      </c>
      <c r="B43" s="147"/>
      <c r="C43" s="165"/>
      <c r="D43" s="165"/>
      <c r="E43" s="208"/>
      <c r="F43" s="179" t="s">
        <v>58</v>
      </c>
      <c r="G43" s="154"/>
      <c r="H43" s="208"/>
      <c r="I43" s="165"/>
      <c r="J43" s="165"/>
      <c r="K43" s="165"/>
    </row>
    <row r="44" spans="1:13" ht="15" customHeight="1" x14ac:dyDescent="0.4">
      <c r="A44" s="155" t="s">
        <v>59</v>
      </c>
      <c r="B44" s="14"/>
      <c r="C44" s="209"/>
      <c r="D44" s="209"/>
      <c r="E44" s="209"/>
      <c r="F44" s="209"/>
      <c r="G44" s="209"/>
      <c r="H44" s="209"/>
      <c r="I44" s="209"/>
      <c r="J44" s="209"/>
      <c r="K44" s="209"/>
    </row>
    <row r="45" spans="1:13" ht="15" customHeight="1" x14ac:dyDescent="0.4">
      <c r="A45" s="155" t="s">
        <v>60</v>
      </c>
      <c r="B45" s="14"/>
      <c r="C45" s="14"/>
      <c r="D45" s="14"/>
      <c r="E45" s="210"/>
      <c r="F45" s="209"/>
      <c r="G45" s="209"/>
      <c r="H45" s="209"/>
      <c r="I45" s="209"/>
      <c r="J45" s="209"/>
      <c r="K45" s="209"/>
    </row>
    <row r="46" spans="1:13" ht="15" customHeight="1" x14ac:dyDescent="0.4">
      <c r="A46" s="155" t="s">
        <v>61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3" ht="21" customHeight="1" x14ac:dyDescent="0.4">
      <c r="A47" s="211" t="s">
        <v>106</v>
      </c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 t="s">
        <v>62</v>
      </c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1" ht="15" customHeight="1" x14ac:dyDescent="0.4">
      <c r="A49" s="147"/>
      <c r="B49" s="14"/>
      <c r="C49" s="14"/>
      <c r="D49" s="14"/>
      <c r="E49" s="179" t="s">
        <v>30</v>
      </c>
      <c r="F49" s="214"/>
      <c r="G49" s="233">
        <f>'Portage Bill'!K2</f>
        <v>41394</v>
      </c>
      <c r="H49" s="14"/>
      <c r="I49" s="14"/>
      <c r="J49" s="14"/>
      <c r="K49" s="14"/>
    </row>
    <row r="50" spans="1:11" ht="24" customHeight="1" x14ac:dyDescent="0.4">
      <c r="A50" s="43"/>
      <c r="B50" s="53"/>
      <c r="C50" s="53"/>
      <c r="D50" s="53"/>
      <c r="G50" s="1"/>
      <c r="H50" s="53"/>
      <c r="I50" s="53"/>
      <c r="J50" s="53"/>
      <c r="K50" s="53"/>
    </row>
    <row r="51" spans="1:11" ht="15" customHeight="1" x14ac:dyDescent="0.35">
      <c r="A51" s="58" t="s">
        <v>63</v>
      </c>
      <c r="B51" s="56"/>
      <c r="C51" s="56"/>
      <c r="D51" s="56"/>
      <c r="H51" s="59" t="s">
        <v>64</v>
      </c>
      <c r="I51" s="57"/>
      <c r="J51" s="57"/>
      <c r="K51" s="57"/>
    </row>
    <row r="52" spans="1:11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1" ht="17.100000000000001" customHeight="1" x14ac:dyDescent="0.35">
      <c r="J53" s="55" t="s">
        <v>65</v>
      </c>
    </row>
    <row r="54" spans="1:11" ht="17.100000000000001" customHeight="1" x14ac:dyDescent="0.35"/>
  </sheetData>
  <sheetProtection formatCells="0" formatColumns="0" formatRows="0"/>
  <phoneticPr fontId="14" type="noConversion"/>
  <pageMargins left="1.19" right="0.35433070866141703" top="0.39370078740157499" bottom="0.39370078740157499" header="0.511811023622047" footer="0.511811023622047"/>
  <pageSetup paperSize="9" scale="95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view="pageLayout" zoomScaleNormal="106" workbookViewId="0">
      <selection activeCell="A2" sqref="A2:C4"/>
    </sheetView>
  </sheetViews>
  <sheetFormatPr defaultRowHeight="12.75" x14ac:dyDescent="0.35"/>
  <cols>
    <col min="1" max="1" width="11.1328125" customWidth="1"/>
    <col min="2" max="2" width="10.46484375" customWidth="1"/>
    <col min="3" max="3" width="11.1328125" customWidth="1"/>
    <col min="4" max="4" width="4.1328125" customWidth="1"/>
    <col min="5" max="5" width="11.33203125" customWidth="1"/>
    <col min="6" max="6" width="3.33203125" customWidth="1"/>
    <col min="7" max="7" width="8.33203125" customWidth="1"/>
    <col min="8" max="8" width="7.46484375" customWidth="1"/>
    <col min="10" max="10" width="7.33203125" customWidth="1"/>
    <col min="11" max="11" width="10.6640625" customWidth="1"/>
  </cols>
  <sheetData>
    <row r="1" spans="1:11" ht="13.15" x14ac:dyDescent="0.4">
      <c r="A1" s="147"/>
      <c r="B1" s="147"/>
      <c r="C1" s="147"/>
      <c r="D1" s="147"/>
      <c r="E1" s="147"/>
      <c r="F1" s="147"/>
      <c r="G1" s="147"/>
      <c r="H1" s="147"/>
      <c r="I1" s="148" t="s">
        <v>80</v>
      </c>
      <c r="J1" s="149" t="s">
        <v>82</v>
      </c>
      <c r="K1" s="150" t="s">
        <v>89</v>
      </c>
    </row>
    <row r="2" spans="1:11" ht="13.15" x14ac:dyDescent="0.4">
      <c r="A2" s="147"/>
      <c r="B2" s="147"/>
      <c r="C2" s="147"/>
      <c r="D2" s="147"/>
      <c r="E2" s="147"/>
      <c r="F2" s="147"/>
      <c r="G2" s="147"/>
      <c r="H2" s="147"/>
      <c r="I2" s="148" t="s">
        <v>81</v>
      </c>
      <c r="J2" s="149" t="s">
        <v>82</v>
      </c>
      <c r="K2" s="151" t="s">
        <v>83</v>
      </c>
    </row>
    <row r="3" spans="1:11" ht="19.899999999999999" x14ac:dyDescent="0.5">
      <c r="A3" s="147"/>
      <c r="B3" s="147"/>
      <c r="C3" s="147"/>
      <c r="D3" s="319" t="s">
        <v>32</v>
      </c>
      <c r="E3" s="147"/>
      <c r="F3" s="147"/>
      <c r="G3" s="147"/>
      <c r="H3" s="147"/>
      <c r="I3" s="153"/>
      <c r="J3" s="154"/>
      <c r="K3" s="154"/>
    </row>
    <row r="4" spans="1:11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</row>
    <row r="6" spans="1:11" ht="15" x14ac:dyDescent="0.4">
      <c r="A6" s="155" t="str">
        <f>'Portage Bill'!B3</f>
        <v xml:space="preserve">Vessel:     </v>
      </c>
      <c r="B6" s="156">
        <f>'Portage Bill'!C3</f>
        <v>0</v>
      </c>
      <c r="C6" s="157"/>
      <c r="D6" s="158"/>
      <c r="E6" s="159"/>
      <c r="F6" s="147"/>
      <c r="G6" s="147"/>
      <c r="H6" s="155" t="s">
        <v>33</v>
      </c>
      <c r="I6" s="155"/>
      <c r="J6" s="160" t="s">
        <v>34</v>
      </c>
      <c r="K6" s="161"/>
    </row>
    <row r="7" spans="1:11" ht="15" customHeight="1" x14ac:dyDescent="0.4">
      <c r="A7" s="147"/>
      <c r="B7" s="147"/>
      <c r="C7" s="147"/>
      <c r="D7" s="147"/>
      <c r="E7" s="147"/>
      <c r="F7" s="147"/>
      <c r="G7" s="147"/>
      <c r="H7" s="155" t="s">
        <v>35</v>
      </c>
      <c r="I7" s="155"/>
      <c r="J7" s="162"/>
      <c r="K7" s="163">
        <f>'Portage Bill'!F70</f>
        <v>0</v>
      </c>
    </row>
    <row r="8" spans="1:11" ht="15" customHeight="1" x14ac:dyDescent="0.4">
      <c r="A8" s="155" t="s">
        <v>36</v>
      </c>
      <c r="B8" s="164">
        <f>'Portage Bill'!B19</f>
        <v>0</v>
      </c>
      <c r="C8" s="165"/>
      <c r="D8" s="165"/>
      <c r="E8" s="147"/>
      <c r="F8" s="147"/>
      <c r="G8" s="147"/>
      <c r="H8" s="155" t="s">
        <v>37</v>
      </c>
      <c r="I8" s="155"/>
      <c r="J8" s="162"/>
      <c r="K8" s="163">
        <f>'Portage Bill'!J70</f>
        <v>0</v>
      </c>
    </row>
    <row r="9" spans="1:11" ht="15" customHeight="1" x14ac:dyDescent="0.4">
      <c r="A9" s="155" t="s">
        <v>38</v>
      </c>
      <c r="B9" s="166" t="str">
        <f>'Portage Bill'!D19</f>
        <v>ABS</v>
      </c>
      <c r="C9" s="165"/>
      <c r="D9" s="147"/>
      <c r="E9" s="147"/>
      <c r="F9" s="147"/>
      <c r="G9" s="147"/>
      <c r="H9" s="155" t="s">
        <v>39</v>
      </c>
      <c r="I9" s="155"/>
      <c r="J9" s="155"/>
      <c r="K9" s="147"/>
    </row>
    <row r="10" spans="1:11" ht="15" customHeight="1" x14ac:dyDescent="0.4">
      <c r="A10" s="155" t="s">
        <v>40</v>
      </c>
      <c r="B10" s="167"/>
      <c r="C10" s="168"/>
      <c r="D10" s="147"/>
      <c r="E10" s="147"/>
      <c r="F10" s="147"/>
      <c r="G10" s="155" t="s">
        <v>41</v>
      </c>
      <c r="H10" s="169"/>
      <c r="I10" s="155" t="s">
        <v>42</v>
      </c>
      <c r="J10" s="316"/>
      <c r="K10" s="171"/>
    </row>
    <row r="11" spans="1:11" ht="15" customHeight="1" x14ac:dyDescent="0.4">
      <c r="A11" s="155"/>
      <c r="B11" s="334"/>
      <c r="C11" s="335"/>
      <c r="D11" s="147"/>
      <c r="E11" s="147"/>
      <c r="F11" s="147"/>
      <c r="G11" s="155"/>
      <c r="H11" s="336"/>
      <c r="I11" s="155"/>
      <c r="J11" s="316"/>
      <c r="K11" s="337"/>
    </row>
    <row r="12" spans="1:11" ht="15" customHeight="1" x14ac:dyDescent="0.4">
      <c r="A12" s="344" t="s">
        <v>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</row>
    <row r="13" spans="1:11" ht="15" customHeight="1" x14ac:dyDescent="0.4">
      <c r="A13" s="346" t="s">
        <v>44</v>
      </c>
      <c r="B13" s="338"/>
      <c r="C13" s="175">
        <f>'Portage Bill'!G2</f>
        <v>41365</v>
      </c>
      <c r="D13" s="347" t="s">
        <v>45</v>
      </c>
      <c r="E13" s="175">
        <f>'Portage Bill'!K2</f>
        <v>41394</v>
      </c>
      <c r="F13" s="348" t="s">
        <v>46</v>
      </c>
      <c r="G13" s="177" t="s">
        <v>114</v>
      </c>
      <c r="H13" s="347" t="s">
        <v>47</v>
      </c>
      <c r="I13" s="178">
        <f>'Portage Bill'!F19</f>
        <v>0</v>
      </c>
      <c r="J13" s="347" t="s">
        <v>43</v>
      </c>
      <c r="K13" s="163">
        <f>'Portage Bill'!G19</f>
        <v>0</v>
      </c>
    </row>
    <row r="14" spans="1:11" ht="15" customHeight="1" x14ac:dyDescent="0.4">
      <c r="A14" s="349" t="s">
        <v>140</v>
      </c>
      <c r="B14" s="350"/>
      <c r="C14" s="43"/>
      <c r="D14" s="43"/>
      <c r="E14" s="43"/>
      <c r="F14" s="351"/>
      <c r="G14" s="8"/>
      <c r="H14" s="43"/>
      <c r="I14" s="352"/>
      <c r="J14" s="353"/>
      <c r="K14" s="49">
        <f>'Portage Bill'!I19</f>
        <v>0</v>
      </c>
    </row>
    <row r="15" spans="1:11" ht="15" customHeight="1" x14ac:dyDescent="0.4">
      <c r="A15" s="349" t="s">
        <v>48</v>
      </c>
      <c r="B15" s="83"/>
      <c r="C15" s="43"/>
      <c r="D15" s="43"/>
      <c r="E15" s="43"/>
      <c r="F15" s="43"/>
      <c r="G15" s="43"/>
      <c r="H15" s="43"/>
      <c r="I15" s="43"/>
      <c r="J15" s="8"/>
      <c r="K15" s="49">
        <f>'Portage Bill'!N19</f>
        <v>0</v>
      </c>
    </row>
    <row r="16" spans="1:11" ht="15" customHeight="1" x14ac:dyDescent="0.4">
      <c r="A16" s="349" t="s">
        <v>49</v>
      </c>
      <c r="B16" s="84"/>
      <c r="C16" s="46" t="s">
        <v>18</v>
      </c>
      <c r="D16" s="43"/>
      <c r="E16" s="43"/>
      <c r="F16" s="43"/>
      <c r="G16" s="43"/>
      <c r="H16" s="43"/>
      <c r="I16" s="43"/>
      <c r="J16" s="8"/>
      <c r="K16" s="49">
        <f>'Portage Bill'!O19</f>
        <v>0</v>
      </c>
    </row>
    <row r="17" spans="1:13" ht="15" customHeight="1" x14ac:dyDescent="0.4">
      <c r="A17" s="349" t="s">
        <v>50</v>
      </c>
      <c r="B17" s="81"/>
      <c r="C17" s="274" t="str">
        <f>'Portage Bill'!L5</f>
        <v>Travelling</v>
      </c>
      <c r="D17" s="43"/>
      <c r="E17" s="43"/>
      <c r="F17" s="43"/>
      <c r="G17" s="43"/>
      <c r="H17" s="43"/>
      <c r="I17" s="43"/>
      <c r="J17" s="8"/>
      <c r="K17" s="49">
        <f>'Portage Bill'!L19</f>
        <v>0</v>
      </c>
    </row>
    <row r="18" spans="1:13" ht="15" customHeight="1" x14ac:dyDescent="0.4">
      <c r="A18" s="351" t="s">
        <v>50</v>
      </c>
      <c r="B18" s="43"/>
      <c r="C18" s="81" t="str">
        <f>'Portage Bill'!J6</f>
        <v>FIDELITY</v>
      </c>
      <c r="D18" s="43"/>
      <c r="E18" s="43"/>
      <c r="F18" s="43"/>
      <c r="G18" s="43"/>
      <c r="H18" s="43"/>
      <c r="I18" s="43"/>
      <c r="J18" s="8"/>
      <c r="K18" s="49">
        <f>'Portage Bill'!J19</f>
        <v>0</v>
      </c>
    </row>
    <row r="19" spans="1:13" ht="15" customHeight="1" x14ac:dyDescent="0.4">
      <c r="A19" s="351" t="s">
        <v>50</v>
      </c>
      <c r="B19" s="43"/>
      <c r="C19" s="82" t="str">
        <f>'Portage Bill'!K5</f>
        <v>ALLOWANCE</v>
      </c>
      <c r="D19" s="43"/>
      <c r="E19" s="43"/>
      <c r="F19" s="43"/>
      <c r="G19" s="43"/>
      <c r="H19" s="43"/>
      <c r="I19" s="43"/>
      <c r="J19" s="8"/>
      <c r="K19" s="50">
        <f>'Portage Bill'!K19</f>
        <v>0</v>
      </c>
    </row>
    <row r="20" spans="1:13" ht="15" customHeight="1" x14ac:dyDescent="0.45">
      <c r="A20" s="354" t="s">
        <v>50</v>
      </c>
      <c r="B20" s="44"/>
      <c r="C20" s="280" t="str">
        <f>'Portage Bill'!P6</f>
        <v>Bonus &amp; Extras</v>
      </c>
      <c r="D20" s="69"/>
      <c r="E20" s="67"/>
      <c r="F20" s="44"/>
      <c r="G20" s="44"/>
      <c r="H20" s="44"/>
      <c r="I20" s="44"/>
      <c r="J20" s="44"/>
      <c r="K20" s="355">
        <f>'Portage Bill'!P19</f>
        <v>0</v>
      </c>
    </row>
    <row r="21" spans="1:13" ht="15" customHeight="1" x14ac:dyDescent="0.4">
      <c r="A21" s="42"/>
      <c r="B21" s="42"/>
      <c r="C21" s="42"/>
      <c r="D21" s="42"/>
      <c r="E21" s="42"/>
      <c r="F21" s="42"/>
      <c r="H21" s="51" t="s">
        <v>51</v>
      </c>
      <c r="I21" s="42"/>
      <c r="J21" s="42"/>
      <c r="K21" s="52">
        <f>SUM(K12:K20)</f>
        <v>0</v>
      </c>
    </row>
    <row r="22" spans="1:13" ht="15" customHeight="1" x14ac:dyDescent="0.4">
      <c r="A22" s="42"/>
      <c r="B22" s="42"/>
      <c r="C22" s="42"/>
      <c r="D22" s="42"/>
      <c r="E22" s="42"/>
      <c r="F22" s="42"/>
      <c r="H22" s="51"/>
      <c r="I22" s="42"/>
      <c r="J22" s="42"/>
      <c r="K22" s="52"/>
    </row>
    <row r="23" spans="1:13" ht="15" customHeight="1" x14ac:dyDescent="0.4">
      <c r="A23" s="339" t="s">
        <v>135</v>
      </c>
      <c r="B23" s="340"/>
      <c r="C23" s="340"/>
      <c r="D23" s="340"/>
      <c r="E23" s="340"/>
      <c r="F23" s="340"/>
      <c r="G23" s="341"/>
      <c r="H23" s="342"/>
      <c r="I23" s="340"/>
      <c r="J23" s="340"/>
      <c r="K23" s="356">
        <f>'Portage Bill'!AB19</f>
        <v>0</v>
      </c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339" t="s">
        <v>138</v>
      </c>
      <c r="B25" s="340"/>
      <c r="C25" s="340"/>
      <c r="D25" s="340"/>
      <c r="E25" s="340"/>
      <c r="F25" s="340"/>
      <c r="G25" s="341"/>
      <c r="H25" s="342"/>
      <c r="I25" s="340"/>
      <c r="J25" s="340"/>
      <c r="K25" s="356">
        <f>'Portage Bill'!AC19</f>
        <v>0</v>
      </c>
    </row>
    <row r="26" spans="1:13" ht="15" customHeight="1" x14ac:dyDescent="0.4">
      <c r="A26" s="363"/>
      <c r="B26" s="8"/>
      <c r="C26" s="8"/>
      <c r="D26" s="8"/>
      <c r="E26" s="8"/>
      <c r="F26" s="8"/>
      <c r="G26" s="1"/>
      <c r="H26" s="364"/>
      <c r="I26" s="8"/>
      <c r="J26" s="8"/>
      <c r="K26" s="365"/>
    </row>
    <row r="27" spans="1:13" ht="15" customHeight="1" x14ac:dyDescent="0.4">
      <c r="A27" s="339"/>
      <c r="B27" s="340"/>
      <c r="C27" s="340"/>
      <c r="D27" s="340"/>
      <c r="E27" s="340"/>
      <c r="F27" s="340"/>
      <c r="G27" s="342" t="s">
        <v>139</v>
      </c>
      <c r="H27" s="342"/>
      <c r="I27" s="340"/>
      <c r="J27" s="340"/>
      <c r="K27" s="356">
        <f>SUM(K21:K26)</f>
        <v>0</v>
      </c>
      <c r="M27" s="42"/>
    </row>
    <row r="28" spans="1:13" ht="15" customHeight="1" x14ac:dyDescent="0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357" t="s">
        <v>52</v>
      </c>
      <c r="B29" s="358"/>
      <c r="C29" s="358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88" t="str">
        <f>'Portage Bill'!X7</f>
        <v>Telecon</v>
      </c>
      <c r="B30" s="8"/>
      <c r="C30" s="62">
        <f>'Portage Bill'!X19</f>
        <v>0</v>
      </c>
      <c r="D30" s="42"/>
      <c r="E30" s="42"/>
      <c r="F30" s="42"/>
      <c r="G30" s="42"/>
      <c r="H30" s="42"/>
      <c r="I30" s="42"/>
      <c r="J30" s="42"/>
      <c r="K30" s="62"/>
      <c r="M30" s="42"/>
    </row>
    <row r="31" spans="1:13" ht="15" customHeight="1" x14ac:dyDescent="0.4">
      <c r="A31" s="351" t="s">
        <v>53</v>
      </c>
      <c r="B31" s="8"/>
      <c r="C31" s="62">
        <f>'Portage Bill'!W19</f>
        <v>0</v>
      </c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351" t="s">
        <v>54</v>
      </c>
      <c r="B32" s="8"/>
      <c r="C32" s="62">
        <f>'Portage Bill'!U19</f>
        <v>0</v>
      </c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351" t="s">
        <v>54</v>
      </c>
      <c r="B33" s="8"/>
      <c r="C33" s="62">
        <f>'Portage Bill'!V19</f>
        <v>0</v>
      </c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351" t="s">
        <v>98</v>
      </c>
      <c r="B34" s="8"/>
      <c r="C34" s="62">
        <f>'Portage Bill'!T19</f>
        <v>0</v>
      </c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351" t="s">
        <v>92</v>
      </c>
      <c r="B35" s="8"/>
      <c r="C35" s="62">
        <f>'Portage Bill'!Y19</f>
        <v>0</v>
      </c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351" t="str">
        <f>'Portage Bill'!R7</f>
        <v>***Leave pay</v>
      </c>
      <c r="B36" s="8"/>
      <c r="C36" s="343">
        <f>'Portage Bill'!R19</f>
        <v>0</v>
      </c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351" t="s">
        <v>55</v>
      </c>
      <c r="B37" s="8"/>
      <c r="C37" s="43"/>
      <c r="D37" s="42"/>
      <c r="E37" s="42"/>
      <c r="F37" s="42"/>
      <c r="G37" s="42"/>
      <c r="H37" s="42"/>
      <c r="I37" s="42"/>
      <c r="J37" s="42"/>
      <c r="K37" s="42"/>
    </row>
    <row r="38" spans="1:13" ht="12" customHeight="1" x14ac:dyDescent="0.4">
      <c r="A38" s="359" t="str">
        <f>'deduct list'!W9</f>
        <v>Accumulated Leave pay</v>
      </c>
      <c r="B38" s="44"/>
      <c r="C38" s="44"/>
      <c r="D38" s="42"/>
      <c r="E38" s="294">
        <f>'deduct list'!W21</f>
        <v>0</v>
      </c>
      <c r="F38" s="42"/>
      <c r="G38" s="42"/>
      <c r="H38" s="45"/>
      <c r="I38" s="42"/>
      <c r="J38" s="42"/>
      <c r="K38" s="50"/>
    </row>
    <row r="39" spans="1:13" ht="15" customHeight="1" x14ac:dyDescent="0.4">
      <c r="A39" s="369" t="s">
        <v>56</v>
      </c>
      <c r="B39" s="18"/>
      <c r="C39" s="371">
        <f>SUM(C30:C38)</f>
        <v>0</v>
      </c>
      <c r="D39" s="147"/>
      <c r="E39" s="147"/>
      <c r="F39" s="147"/>
      <c r="G39" s="179"/>
      <c r="H39" s="179"/>
      <c r="I39" s="179"/>
      <c r="J39" s="179"/>
      <c r="K39" s="360"/>
    </row>
    <row r="40" spans="1:13" ht="15" customHeight="1" x14ac:dyDescent="0.45">
      <c r="A40" s="48"/>
      <c r="B40" s="42"/>
      <c r="C40" s="62"/>
      <c r="D40" s="147"/>
      <c r="E40" s="147"/>
      <c r="F40" s="147"/>
      <c r="G40" s="147"/>
      <c r="H40" s="367" t="s">
        <v>136</v>
      </c>
      <c r="I40" s="75"/>
      <c r="J40" s="75"/>
      <c r="K40" s="370">
        <f>'Portage Bill'!S19</f>
        <v>0</v>
      </c>
    </row>
    <row r="41" spans="1:13" ht="15" customHeight="1" x14ac:dyDescent="0.45">
      <c r="A41" s="48"/>
      <c r="B41" s="42"/>
      <c r="C41" s="368"/>
      <c r="D41" s="147"/>
      <c r="E41" s="147"/>
      <c r="F41" s="147"/>
      <c r="G41" s="147"/>
      <c r="H41" s="367"/>
      <c r="I41" s="75"/>
      <c r="J41" s="75"/>
      <c r="K41" s="361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366" t="s">
        <v>137</v>
      </c>
      <c r="I42" s="362"/>
      <c r="J42" s="75"/>
      <c r="K42" s="366">
        <f>'Portage Bill'!AD19</f>
        <v>0</v>
      </c>
    </row>
    <row r="43" spans="1:13" ht="22.5" customHeight="1" x14ac:dyDescent="0.4">
      <c r="A43" s="155" t="s">
        <v>57</v>
      </c>
      <c r="B43" s="147"/>
      <c r="C43" s="165"/>
      <c r="D43" s="165"/>
      <c r="E43" s="208"/>
      <c r="F43" s="179" t="s">
        <v>58</v>
      </c>
      <c r="G43" s="154"/>
      <c r="H43" s="208"/>
      <c r="I43" s="165"/>
      <c r="J43" s="165"/>
      <c r="K43" s="165"/>
    </row>
    <row r="44" spans="1:13" ht="15" customHeight="1" x14ac:dyDescent="0.4">
      <c r="A44" s="155" t="s">
        <v>59</v>
      </c>
      <c r="B44" s="14"/>
      <c r="C44" s="209"/>
      <c r="D44" s="209"/>
      <c r="E44" s="209"/>
      <c r="F44" s="209"/>
      <c r="G44" s="209"/>
      <c r="H44" s="209"/>
      <c r="I44" s="209"/>
      <c r="J44" s="209"/>
      <c r="K44" s="209"/>
    </row>
    <row r="45" spans="1:13" ht="15" customHeight="1" x14ac:dyDescent="0.4">
      <c r="A45" s="155" t="s">
        <v>60</v>
      </c>
      <c r="B45" s="14"/>
      <c r="C45" s="14"/>
      <c r="D45" s="14"/>
      <c r="E45" s="210"/>
      <c r="F45" s="209"/>
      <c r="G45" s="209"/>
      <c r="H45" s="209"/>
      <c r="I45" s="209"/>
      <c r="J45" s="209"/>
      <c r="K45" s="209"/>
    </row>
    <row r="46" spans="1:13" ht="15" customHeight="1" x14ac:dyDescent="0.4">
      <c r="A46" s="155" t="s">
        <v>61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3" ht="21" customHeight="1" x14ac:dyDescent="0.4">
      <c r="A47" s="211" t="s">
        <v>106</v>
      </c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 t="s">
        <v>62</v>
      </c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1" ht="15" customHeight="1" x14ac:dyDescent="0.4">
      <c r="A49" s="147"/>
      <c r="B49" s="14"/>
      <c r="C49" s="14"/>
      <c r="D49" s="14"/>
      <c r="E49" s="179" t="s">
        <v>30</v>
      </c>
      <c r="F49" s="214"/>
      <c r="G49" s="233">
        <f>'Portage Bill'!K2</f>
        <v>41394</v>
      </c>
      <c r="H49" s="14"/>
      <c r="I49" s="14"/>
      <c r="J49" s="14"/>
      <c r="K49" s="14"/>
    </row>
    <row r="50" spans="1:11" ht="15" customHeight="1" x14ac:dyDescent="0.4">
      <c r="A50" s="43"/>
      <c r="B50" s="53"/>
      <c r="C50" s="53"/>
      <c r="D50" s="53"/>
      <c r="G50" s="1"/>
      <c r="H50" s="53"/>
      <c r="I50" s="53"/>
      <c r="J50" s="53"/>
      <c r="K50" s="53"/>
    </row>
    <row r="51" spans="1:11" ht="24" customHeight="1" x14ac:dyDescent="0.35">
      <c r="A51" s="58" t="s">
        <v>63</v>
      </c>
      <c r="B51" s="56"/>
      <c r="C51" s="56"/>
      <c r="D51" s="56"/>
      <c r="H51" s="59" t="s">
        <v>64</v>
      </c>
      <c r="I51" s="57"/>
      <c r="J51" s="57"/>
      <c r="K51" s="57"/>
    </row>
    <row r="52" spans="1:11" ht="15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1" ht="17.100000000000001" customHeight="1" x14ac:dyDescent="0.35">
      <c r="J53" s="55" t="s">
        <v>65</v>
      </c>
    </row>
    <row r="54" spans="1:11" ht="17.100000000000001" customHeight="1" x14ac:dyDescent="0.35">
      <c r="J54" s="55"/>
    </row>
    <row r="55" spans="1:11" ht="17.100000000000001" customHeight="1" x14ac:dyDescent="0.35"/>
  </sheetData>
  <sheetProtection formatCells="0" formatColumns="0" formatRows="0"/>
  <phoneticPr fontId="14" type="noConversion"/>
  <pageMargins left="0.99" right="0.35433070866141703" top="0.44" bottom="0.196850393700787" header="0.511811023622047" footer="0.511811023622047"/>
  <pageSetup paperSize="9" scale="95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M54"/>
  <sheetViews>
    <sheetView view="pageLayout" zoomScaleNormal="100" workbookViewId="0">
      <selection activeCell="I15" sqref="I15"/>
    </sheetView>
  </sheetViews>
  <sheetFormatPr defaultRowHeight="12.75" x14ac:dyDescent="0.35"/>
  <cols>
    <col min="1" max="1" width="11.46484375" customWidth="1"/>
    <col min="2" max="2" width="9.6640625" customWidth="1"/>
    <col min="3" max="3" width="11.1328125" customWidth="1"/>
    <col min="4" max="4" width="4.1328125" customWidth="1"/>
    <col min="5" max="5" width="11.46484375" customWidth="1"/>
    <col min="6" max="6" width="3.33203125" customWidth="1"/>
    <col min="7" max="7" width="8.6640625" customWidth="1"/>
    <col min="8" max="8" width="7.46484375" customWidth="1"/>
    <col min="9" max="9" width="7.33203125" customWidth="1"/>
    <col min="10" max="10" width="8.6640625" customWidth="1"/>
    <col min="11" max="11" width="10.33203125" customWidth="1"/>
  </cols>
  <sheetData>
    <row r="1" spans="1:11" ht="13.15" x14ac:dyDescent="0.4">
      <c r="A1" s="147"/>
      <c r="B1" s="147"/>
      <c r="C1" s="147"/>
      <c r="D1" s="147"/>
      <c r="E1" s="147"/>
      <c r="F1" s="147"/>
      <c r="G1" s="147"/>
      <c r="H1" s="147"/>
      <c r="I1" s="148" t="s">
        <v>80</v>
      </c>
      <c r="J1" s="149" t="s">
        <v>82</v>
      </c>
      <c r="K1" s="150" t="s">
        <v>89</v>
      </c>
    </row>
    <row r="2" spans="1:11" ht="13.15" x14ac:dyDescent="0.4">
      <c r="A2" s="147"/>
      <c r="B2" s="147"/>
      <c r="C2" s="147"/>
      <c r="D2" s="147"/>
      <c r="E2" s="147"/>
      <c r="F2" s="147"/>
      <c r="G2" s="147"/>
      <c r="H2" s="147"/>
      <c r="I2" s="148" t="s">
        <v>81</v>
      </c>
      <c r="J2" s="149" t="s">
        <v>82</v>
      </c>
      <c r="K2" s="151" t="s">
        <v>83</v>
      </c>
    </row>
    <row r="3" spans="1:11" ht="19.899999999999999" x14ac:dyDescent="0.5">
      <c r="A3" s="147"/>
      <c r="B3" s="147"/>
      <c r="C3" s="147"/>
      <c r="D3" s="319" t="s">
        <v>32</v>
      </c>
      <c r="E3" s="147"/>
      <c r="F3" s="147"/>
      <c r="G3" s="147"/>
      <c r="H3" s="147"/>
      <c r="I3" s="153"/>
      <c r="J3" s="154"/>
      <c r="K3" s="154"/>
    </row>
    <row r="4" spans="1:11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</row>
    <row r="6" spans="1:11" ht="15" x14ac:dyDescent="0.4">
      <c r="A6" s="155" t="str">
        <f>'Portage Bill'!B3</f>
        <v xml:space="preserve">Vessel:     </v>
      </c>
      <c r="B6" s="156">
        <f>'Portage Bill'!C3</f>
        <v>0</v>
      </c>
      <c r="C6" s="157"/>
      <c r="D6" s="158"/>
      <c r="E6" s="159"/>
      <c r="F6" s="147"/>
      <c r="G6" s="147"/>
      <c r="H6" s="155" t="s">
        <v>33</v>
      </c>
      <c r="I6" s="155"/>
      <c r="J6" s="160" t="s">
        <v>34</v>
      </c>
      <c r="K6" s="161"/>
    </row>
    <row r="7" spans="1:11" ht="15" customHeight="1" x14ac:dyDescent="0.4">
      <c r="A7" s="147"/>
      <c r="B7" s="147"/>
      <c r="C7" s="147"/>
      <c r="D7" s="147"/>
      <c r="E7" s="147"/>
      <c r="F7" s="147"/>
      <c r="G7" s="147"/>
      <c r="H7" s="155" t="s">
        <v>35</v>
      </c>
      <c r="I7" s="155"/>
      <c r="J7" s="162"/>
      <c r="K7" s="163">
        <f>'Portage Bill'!F71</f>
        <v>0</v>
      </c>
    </row>
    <row r="8" spans="1:11" ht="15" customHeight="1" x14ac:dyDescent="0.4">
      <c r="A8" s="155" t="s">
        <v>36</v>
      </c>
      <c r="B8" s="164">
        <f>'Portage Bill'!B20</f>
        <v>0</v>
      </c>
      <c r="C8" s="165"/>
      <c r="D8" s="165"/>
      <c r="E8" s="147"/>
      <c r="F8" s="147"/>
      <c r="G8" s="147"/>
      <c r="H8" s="155" t="s">
        <v>37</v>
      </c>
      <c r="I8" s="155"/>
      <c r="J8" s="162"/>
      <c r="K8" s="163">
        <f>'Portage Bill'!J71</f>
        <v>0</v>
      </c>
    </row>
    <row r="9" spans="1:11" ht="15" customHeight="1" x14ac:dyDescent="0.4">
      <c r="A9" s="155" t="s">
        <v>38</v>
      </c>
      <c r="B9" s="166" t="str">
        <f>'Portage Bill'!D20</f>
        <v>ABS</v>
      </c>
      <c r="C9" s="165"/>
      <c r="D9" s="147"/>
      <c r="E9" s="147"/>
      <c r="F9" s="147"/>
      <c r="G9" s="147"/>
      <c r="H9" s="155" t="s">
        <v>39</v>
      </c>
      <c r="I9" s="155"/>
      <c r="J9" s="155"/>
      <c r="K9" s="147"/>
    </row>
    <row r="10" spans="1:11" ht="15" customHeight="1" x14ac:dyDescent="0.4">
      <c r="A10" s="155" t="s">
        <v>40</v>
      </c>
      <c r="B10" s="167"/>
      <c r="C10" s="168"/>
      <c r="D10" s="147"/>
      <c r="E10" s="147"/>
      <c r="F10" s="147"/>
      <c r="G10" s="155" t="s">
        <v>41</v>
      </c>
      <c r="H10" s="169"/>
      <c r="I10" s="155" t="s">
        <v>42</v>
      </c>
      <c r="J10" s="316"/>
      <c r="K10" s="171"/>
    </row>
    <row r="11" spans="1:11" ht="15" customHeight="1" x14ac:dyDescent="0.4">
      <c r="A11" s="155"/>
      <c r="B11" s="334"/>
      <c r="C11" s="335"/>
      <c r="D11" s="147"/>
      <c r="E11" s="147"/>
      <c r="F11" s="147"/>
      <c r="G11" s="155"/>
      <c r="H11" s="336"/>
      <c r="I11" s="155"/>
      <c r="J11" s="316"/>
      <c r="K11" s="337"/>
    </row>
    <row r="12" spans="1:11" ht="15" customHeight="1" x14ac:dyDescent="0.4">
      <c r="A12" s="344" t="s">
        <v>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</row>
    <row r="13" spans="1:11" ht="15" customHeight="1" x14ac:dyDescent="0.4">
      <c r="A13" s="346" t="s">
        <v>44</v>
      </c>
      <c r="B13" s="338"/>
      <c r="C13" s="175">
        <f>'Portage Bill'!G2</f>
        <v>41365</v>
      </c>
      <c r="D13" s="347" t="s">
        <v>45</v>
      </c>
      <c r="E13" s="175">
        <f>'Portage Bill'!K2</f>
        <v>41394</v>
      </c>
      <c r="F13" s="348" t="s">
        <v>46</v>
      </c>
      <c r="G13" s="177" t="s">
        <v>114</v>
      </c>
      <c r="H13" s="347" t="s">
        <v>47</v>
      </c>
      <c r="I13" s="178">
        <f>'Portage Bill'!F20</f>
        <v>0</v>
      </c>
      <c r="J13" s="347" t="s">
        <v>43</v>
      </c>
      <c r="K13" s="163">
        <f>'Portage Bill'!G20</f>
        <v>0</v>
      </c>
    </row>
    <row r="14" spans="1:11" ht="15" customHeight="1" x14ac:dyDescent="0.4">
      <c r="A14" s="349" t="s">
        <v>140</v>
      </c>
      <c r="B14" s="350"/>
      <c r="C14" s="43"/>
      <c r="D14" s="43"/>
      <c r="E14" s="43"/>
      <c r="F14" s="351"/>
      <c r="G14" s="8"/>
      <c r="H14" s="43"/>
      <c r="I14" s="352"/>
      <c r="J14" s="353"/>
      <c r="K14" s="49">
        <f>'Portage Bill'!I20</f>
        <v>0</v>
      </c>
    </row>
    <row r="15" spans="1:11" ht="15" customHeight="1" x14ac:dyDescent="0.4">
      <c r="A15" s="349" t="s">
        <v>48</v>
      </c>
      <c r="B15" s="83"/>
      <c r="C15" s="43"/>
      <c r="D15" s="43"/>
      <c r="E15" s="43"/>
      <c r="F15" s="43"/>
      <c r="G15" s="43"/>
      <c r="H15" s="43"/>
      <c r="I15" s="43"/>
      <c r="J15" s="8"/>
      <c r="K15" s="49">
        <f>'Portage Bill'!N20</f>
        <v>0</v>
      </c>
    </row>
    <row r="16" spans="1:11" ht="15" customHeight="1" x14ac:dyDescent="0.4">
      <c r="A16" s="349" t="s">
        <v>49</v>
      </c>
      <c r="B16" s="84"/>
      <c r="C16" s="46" t="s">
        <v>18</v>
      </c>
      <c r="D16" s="43"/>
      <c r="E16" s="43"/>
      <c r="F16" s="43"/>
      <c r="G16" s="43"/>
      <c r="H16" s="43"/>
      <c r="I16" s="43"/>
      <c r="J16" s="8"/>
      <c r="K16" s="49">
        <f>'Portage Bill'!O20</f>
        <v>0</v>
      </c>
    </row>
    <row r="17" spans="1:13" ht="15" customHeight="1" x14ac:dyDescent="0.4">
      <c r="A17" s="349" t="s">
        <v>50</v>
      </c>
      <c r="B17" s="81"/>
      <c r="C17" s="274" t="str">
        <f>'Portage Bill'!L5</f>
        <v>Travelling</v>
      </c>
      <c r="D17" s="43"/>
      <c r="E17" s="43"/>
      <c r="F17" s="43"/>
      <c r="G17" s="43"/>
      <c r="H17" s="43"/>
      <c r="I17" s="43"/>
      <c r="J17" s="8"/>
      <c r="K17" s="49">
        <f>'Portage Bill'!L20</f>
        <v>0</v>
      </c>
    </row>
    <row r="18" spans="1:13" ht="15" customHeight="1" x14ac:dyDescent="0.4">
      <c r="A18" s="351" t="s">
        <v>50</v>
      </c>
      <c r="B18" s="43"/>
      <c r="C18" s="81" t="str">
        <f>'Portage Bill'!J6</f>
        <v>FIDELITY</v>
      </c>
      <c r="D18" s="43"/>
      <c r="E18" s="43"/>
      <c r="F18" s="43"/>
      <c r="G18" s="43"/>
      <c r="H18" s="43"/>
      <c r="I18" s="43"/>
      <c r="J18" s="8"/>
      <c r="K18" s="49">
        <f>'Portage Bill'!J20</f>
        <v>0</v>
      </c>
    </row>
    <row r="19" spans="1:13" ht="15" customHeight="1" x14ac:dyDescent="0.4">
      <c r="A19" s="351" t="s">
        <v>50</v>
      </c>
      <c r="B19" s="43"/>
      <c r="C19" s="82" t="str">
        <f>'Portage Bill'!K5</f>
        <v>ALLOWANCE</v>
      </c>
      <c r="D19" s="43"/>
      <c r="E19" s="43"/>
      <c r="F19" s="43"/>
      <c r="G19" s="43"/>
      <c r="H19" s="43"/>
      <c r="I19" s="43"/>
      <c r="J19" s="8"/>
      <c r="K19" s="50">
        <f>'Portage Bill'!K20</f>
        <v>0</v>
      </c>
    </row>
    <row r="20" spans="1:13" ht="15" customHeight="1" x14ac:dyDescent="0.45">
      <c r="A20" s="354" t="s">
        <v>50</v>
      </c>
      <c r="B20" s="44"/>
      <c r="C20" s="280" t="str">
        <f>'Portage Bill'!P6</f>
        <v>Bonus &amp; Extras</v>
      </c>
      <c r="D20" s="69"/>
      <c r="E20" s="67"/>
      <c r="F20" s="44"/>
      <c r="G20" s="44"/>
      <c r="H20" s="44"/>
      <c r="I20" s="44"/>
      <c r="J20" s="44"/>
      <c r="K20" s="355">
        <f>'Portage Bill'!P20</f>
        <v>0</v>
      </c>
    </row>
    <row r="21" spans="1:13" ht="15" customHeight="1" x14ac:dyDescent="0.4">
      <c r="A21" s="42"/>
      <c r="B21" s="42"/>
      <c r="C21" s="42"/>
      <c r="D21" s="42"/>
      <c r="E21" s="42"/>
      <c r="F21" s="42"/>
      <c r="H21" s="51" t="s">
        <v>51</v>
      </c>
      <c r="I21" s="42"/>
      <c r="J21" s="42"/>
      <c r="K21" s="52">
        <f>SUM(K12:K20)</f>
        <v>0</v>
      </c>
    </row>
    <row r="22" spans="1:13" ht="15" customHeight="1" x14ac:dyDescent="0.4">
      <c r="A22" s="42"/>
      <c r="B22" s="42"/>
      <c r="C22" s="42"/>
      <c r="D22" s="42"/>
      <c r="E22" s="42"/>
      <c r="F22" s="42"/>
      <c r="H22" s="51"/>
      <c r="I22" s="42"/>
      <c r="J22" s="42"/>
      <c r="K22" s="52"/>
    </row>
    <row r="23" spans="1:13" ht="15" customHeight="1" x14ac:dyDescent="0.4">
      <c r="A23" s="339" t="s">
        <v>135</v>
      </c>
      <c r="B23" s="340"/>
      <c r="C23" s="340"/>
      <c r="D23" s="340"/>
      <c r="E23" s="340"/>
      <c r="F23" s="340"/>
      <c r="G23" s="341"/>
      <c r="H23" s="342"/>
      <c r="I23" s="340"/>
      <c r="J23" s="340"/>
      <c r="K23" s="356">
        <f>'Portage Bill'!AB20</f>
        <v>0</v>
      </c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339" t="s">
        <v>138</v>
      </c>
      <c r="B25" s="340"/>
      <c r="C25" s="340"/>
      <c r="D25" s="340"/>
      <c r="E25" s="340"/>
      <c r="F25" s="340"/>
      <c r="G25" s="341"/>
      <c r="H25" s="342"/>
      <c r="I25" s="340"/>
      <c r="J25" s="340"/>
      <c r="K25" s="356">
        <f>'Portage Bill'!AC20</f>
        <v>0</v>
      </c>
    </row>
    <row r="26" spans="1:13" ht="15" customHeight="1" x14ac:dyDescent="0.4">
      <c r="A26" s="363"/>
      <c r="B26" s="8"/>
      <c r="C26" s="8"/>
      <c r="D26" s="8"/>
      <c r="E26" s="8"/>
      <c r="F26" s="8"/>
      <c r="G26" s="1"/>
      <c r="H26" s="364"/>
      <c r="I26" s="8"/>
      <c r="J26" s="8"/>
      <c r="K26" s="365"/>
    </row>
    <row r="27" spans="1:13" ht="15" customHeight="1" x14ac:dyDescent="0.4">
      <c r="A27" s="339"/>
      <c r="B27" s="340"/>
      <c r="C27" s="340"/>
      <c r="D27" s="340"/>
      <c r="E27" s="340"/>
      <c r="F27" s="340"/>
      <c r="G27" s="342" t="s">
        <v>139</v>
      </c>
      <c r="H27" s="342"/>
      <c r="I27" s="340"/>
      <c r="J27" s="340"/>
      <c r="K27" s="356">
        <f>SUM(K21:K26)</f>
        <v>0</v>
      </c>
      <c r="M27" s="42"/>
    </row>
    <row r="28" spans="1:13" ht="15" customHeight="1" x14ac:dyDescent="0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357" t="s">
        <v>52</v>
      </c>
      <c r="B29" s="358"/>
      <c r="C29" s="358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88" t="str">
        <f>'Portage Bill'!X7</f>
        <v>Telecon</v>
      </c>
      <c r="B30" s="8"/>
      <c r="C30" s="62">
        <f>'Portage Bill'!X20</f>
        <v>0</v>
      </c>
      <c r="D30" s="42"/>
      <c r="E30" s="42"/>
      <c r="F30" s="42"/>
      <c r="G30" s="42"/>
      <c r="H30" s="42"/>
      <c r="I30" s="42"/>
      <c r="J30" s="42"/>
      <c r="K30" s="62"/>
      <c r="M30" s="42"/>
    </row>
    <row r="31" spans="1:13" ht="15" customHeight="1" x14ac:dyDescent="0.4">
      <c r="A31" s="351" t="s">
        <v>53</v>
      </c>
      <c r="B31" s="8"/>
      <c r="C31" s="62">
        <f>'Portage Bill'!W20</f>
        <v>0</v>
      </c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351" t="s">
        <v>54</v>
      </c>
      <c r="B32" s="8"/>
      <c r="C32" s="62">
        <f>'Portage Bill'!U20</f>
        <v>0</v>
      </c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351" t="s">
        <v>54</v>
      </c>
      <c r="B33" s="8"/>
      <c r="C33" s="62">
        <f>'Portage Bill'!V20</f>
        <v>0</v>
      </c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351" t="s">
        <v>98</v>
      </c>
      <c r="B34" s="8"/>
      <c r="C34" s="62">
        <f>'Portage Bill'!T20</f>
        <v>0</v>
      </c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351" t="s">
        <v>92</v>
      </c>
      <c r="B35" s="8"/>
      <c r="C35" s="62">
        <f>'Portage Bill'!Y20</f>
        <v>0</v>
      </c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351" t="str">
        <f>'Portage Bill'!R7</f>
        <v>***Leave pay</v>
      </c>
      <c r="B36" s="8"/>
      <c r="C36" s="343">
        <f>'Portage Bill'!R20</f>
        <v>0</v>
      </c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351" t="s">
        <v>55</v>
      </c>
      <c r="B37" s="8"/>
      <c r="C37" s="43"/>
      <c r="D37" s="42"/>
      <c r="E37" s="42"/>
      <c r="F37" s="42"/>
      <c r="G37" s="42"/>
      <c r="H37" s="42"/>
      <c r="I37" s="42"/>
      <c r="J37" s="42"/>
      <c r="K37" s="42"/>
      <c r="L37" s="14"/>
    </row>
    <row r="38" spans="1:13" ht="15.75" customHeight="1" x14ac:dyDescent="0.4">
      <c r="A38" s="359" t="str">
        <f>'deduct list'!W9</f>
        <v>Accumulated Leave pay</v>
      </c>
      <c r="B38" s="44"/>
      <c r="C38" s="44"/>
      <c r="D38" s="42"/>
      <c r="E38" s="294">
        <f>'deduct list'!W22</f>
        <v>0</v>
      </c>
      <c r="F38" s="42"/>
      <c r="G38" s="42"/>
      <c r="H38" s="45"/>
      <c r="I38" s="42"/>
      <c r="J38" s="42"/>
      <c r="K38" s="50"/>
      <c r="L38" s="14"/>
    </row>
    <row r="39" spans="1:13" ht="15" customHeight="1" x14ac:dyDescent="0.4">
      <c r="A39" s="369" t="s">
        <v>56</v>
      </c>
      <c r="B39" s="18"/>
      <c r="C39" s="371">
        <f>SUM(C30:C38)</f>
        <v>0</v>
      </c>
      <c r="D39" s="147"/>
      <c r="E39" s="147"/>
      <c r="F39" s="147"/>
      <c r="G39" s="179"/>
      <c r="H39" s="179"/>
      <c r="I39" s="179"/>
      <c r="J39" s="179"/>
      <c r="K39" s="360"/>
      <c r="L39" s="14"/>
    </row>
    <row r="40" spans="1:13" ht="15" customHeight="1" x14ac:dyDescent="0.45">
      <c r="A40" s="48"/>
      <c r="B40" s="42"/>
      <c r="C40" s="62"/>
      <c r="D40" s="147"/>
      <c r="E40" s="147"/>
      <c r="F40" s="147"/>
      <c r="G40" s="147"/>
      <c r="H40" s="367" t="s">
        <v>136</v>
      </c>
      <c r="I40" s="75"/>
      <c r="J40" s="75"/>
      <c r="K40" s="370">
        <f>'Portage Bill'!S20</f>
        <v>0</v>
      </c>
      <c r="L40" s="14"/>
    </row>
    <row r="41" spans="1:13" ht="15" customHeight="1" x14ac:dyDescent="0.45">
      <c r="A41" s="48"/>
      <c r="B41" s="42"/>
      <c r="C41" s="368"/>
      <c r="D41" s="147"/>
      <c r="E41" s="147"/>
      <c r="F41" s="147"/>
      <c r="G41" s="147"/>
      <c r="H41" s="367"/>
      <c r="I41" s="75"/>
      <c r="J41" s="75"/>
      <c r="K41" s="361"/>
      <c r="L41" s="14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366" t="s">
        <v>137</v>
      </c>
      <c r="I42" s="362"/>
      <c r="J42" s="75"/>
      <c r="K42" s="366">
        <f>'Portage Bill'!AD20</f>
        <v>0</v>
      </c>
      <c r="L42" s="14"/>
    </row>
    <row r="43" spans="1:13" ht="22.5" customHeight="1" x14ac:dyDescent="0.4">
      <c r="A43" s="155" t="s">
        <v>57</v>
      </c>
      <c r="B43" s="147"/>
      <c r="C43" s="165"/>
      <c r="D43" s="165"/>
      <c r="E43" s="208"/>
      <c r="F43" s="179" t="s">
        <v>58</v>
      </c>
      <c r="G43" s="154"/>
      <c r="H43" s="208"/>
      <c r="I43" s="165"/>
      <c r="J43" s="165"/>
      <c r="K43" s="165"/>
      <c r="L43" s="14"/>
    </row>
    <row r="44" spans="1:13" ht="15" customHeight="1" x14ac:dyDescent="0.4">
      <c r="A44" s="155" t="s">
        <v>59</v>
      </c>
      <c r="B44" s="14"/>
      <c r="C44" s="209"/>
      <c r="D44" s="209"/>
      <c r="E44" s="209"/>
      <c r="F44" s="209"/>
      <c r="G44" s="209"/>
      <c r="H44" s="209"/>
      <c r="I44" s="209"/>
      <c r="J44" s="209"/>
      <c r="K44" s="209"/>
      <c r="L44" s="14"/>
    </row>
    <row r="45" spans="1:13" ht="15" customHeight="1" x14ac:dyDescent="0.4">
      <c r="A45" s="155" t="s">
        <v>60</v>
      </c>
      <c r="B45" s="14"/>
      <c r="C45" s="14"/>
      <c r="D45" s="14"/>
      <c r="E45" s="210"/>
      <c r="F45" s="209"/>
      <c r="G45" s="209"/>
      <c r="H45" s="209"/>
      <c r="I45" s="209"/>
      <c r="J45" s="209"/>
      <c r="K45" s="209"/>
      <c r="L45" s="14"/>
    </row>
    <row r="46" spans="1:13" ht="15" customHeight="1" x14ac:dyDescent="0.4">
      <c r="A46" s="155" t="s">
        <v>61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3" ht="21" customHeight="1" x14ac:dyDescent="0.4">
      <c r="A47" s="211" t="s">
        <v>106</v>
      </c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 t="s">
        <v>62</v>
      </c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2" ht="15" customHeight="1" x14ac:dyDescent="0.4">
      <c r="A49" s="147"/>
      <c r="B49" s="14"/>
      <c r="C49" s="14"/>
      <c r="D49" s="14"/>
      <c r="E49" s="179" t="s">
        <v>30</v>
      </c>
      <c r="F49" s="214"/>
      <c r="G49" s="233">
        <f>'Portage Bill'!K2</f>
        <v>41394</v>
      </c>
      <c r="H49" s="14"/>
      <c r="I49" s="14"/>
      <c r="J49" s="14"/>
      <c r="K49" s="14"/>
      <c r="L49" s="14"/>
    </row>
    <row r="50" spans="1:12" ht="24" customHeight="1" x14ac:dyDescent="0.4">
      <c r="A50" s="43"/>
      <c r="B50" s="53"/>
      <c r="C50" s="53"/>
      <c r="D50" s="53"/>
      <c r="G50" s="1"/>
      <c r="H50" s="53"/>
      <c r="I50" s="53"/>
      <c r="J50" s="53"/>
      <c r="K50" s="53"/>
    </row>
    <row r="51" spans="1:12" ht="15" customHeight="1" x14ac:dyDescent="0.35">
      <c r="A51" s="58" t="s">
        <v>63</v>
      </c>
      <c r="B51" s="56"/>
      <c r="C51" s="56"/>
      <c r="D51" s="56"/>
      <c r="H51" s="59" t="s">
        <v>64</v>
      </c>
      <c r="I51" s="57"/>
      <c r="J51" s="57"/>
      <c r="K51" s="57"/>
    </row>
    <row r="52" spans="1:12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2" ht="17.100000000000001" customHeight="1" x14ac:dyDescent="0.35">
      <c r="J53" s="55" t="s">
        <v>65</v>
      </c>
    </row>
    <row r="54" spans="1:12" ht="17.100000000000001" customHeight="1" x14ac:dyDescent="0.35"/>
  </sheetData>
  <sheetProtection formatCells="0" formatColumns="0" formatRows="0"/>
  <phoneticPr fontId="14" type="noConversion"/>
  <pageMargins left="1" right="0.35433070866141703" top="0.39370078740157499" bottom="0.39370078740157499" header="0.511811023622047" footer="0.511811023622047"/>
  <pageSetup paperSize="9" scale="95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M54"/>
  <sheetViews>
    <sheetView view="pageLayout" zoomScaleNormal="100" workbookViewId="0">
      <selection activeCell="B4" sqref="B4"/>
    </sheetView>
  </sheetViews>
  <sheetFormatPr defaultRowHeight="12.75" x14ac:dyDescent="0.35"/>
  <cols>
    <col min="1" max="1" width="10.6640625" customWidth="1"/>
    <col min="2" max="2" width="10" customWidth="1"/>
    <col min="3" max="3" width="11.46484375" customWidth="1"/>
    <col min="4" max="4" width="4.1328125" customWidth="1"/>
    <col min="5" max="5" width="11.46484375" customWidth="1"/>
    <col min="6" max="6" width="3.33203125" customWidth="1"/>
    <col min="7" max="7" width="6.46484375" customWidth="1"/>
    <col min="8" max="8" width="6.6640625" customWidth="1"/>
    <col min="9" max="9" width="9.1328125" customWidth="1"/>
    <col min="10" max="10" width="8.86328125" customWidth="1"/>
    <col min="11" max="11" width="9.33203125" customWidth="1"/>
  </cols>
  <sheetData>
    <row r="1" spans="1:11" ht="13.15" x14ac:dyDescent="0.4">
      <c r="A1" s="147"/>
      <c r="B1" s="147"/>
      <c r="C1" s="147"/>
      <c r="D1" s="147"/>
      <c r="E1" s="147"/>
      <c r="F1" s="147"/>
      <c r="G1" s="147"/>
      <c r="H1" s="147"/>
      <c r="I1" s="148" t="s">
        <v>80</v>
      </c>
      <c r="J1" s="149" t="s">
        <v>82</v>
      </c>
      <c r="K1" s="150" t="s">
        <v>89</v>
      </c>
    </row>
    <row r="2" spans="1:11" ht="13.15" x14ac:dyDescent="0.4">
      <c r="A2" s="147"/>
      <c r="B2" s="147"/>
      <c r="C2" s="147"/>
      <c r="D2" s="147"/>
      <c r="E2" s="147"/>
      <c r="F2" s="147"/>
      <c r="G2" s="147"/>
      <c r="H2" s="147"/>
      <c r="I2" s="148" t="s">
        <v>81</v>
      </c>
      <c r="J2" s="149" t="s">
        <v>82</v>
      </c>
      <c r="K2" s="151" t="s">
        <v>83</v>
      </c>
    </row>
    <row r="3" spans="1:11" ht="19.899999999999999" x14ac:dyDescent="0.5">
      <c r="B3" s="147"/>
      <c r="C3" s="147"/>
      <c r="D3" s="319" t="s">
        <v>32</v>
      </c>
      <c r="E3" s="147"/>
      <c r="F3" s="147"/>
      <c r="G3" s="147"/>
      <c r="H3" s="147"/>
      <c r="I3" s="153"/>
      <c r="J3" s="154"/>
      <c r="K3" s="154"/>
    </row>
    <row r="4" spans="1:11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</row>
    <row r="6" spans="1:11" ht="15" x14ac:dyDescent="0.4">
      <c r="A6" s="155" t="str">
        <f>'Portage Bill'!B3</f>
        <v xml:space="preserve">Vessel:     </v>
      </c>
      <c r="B6" s="156">
        <f>'Portage Bill'!C3</f>
        <v>0</v>
      </c>
      <c r="C6" s="157"/>
      <c r="D6" s="158"/>
      <c r="E6" s="159"/>
      <c r="F6" s="147"/>
      <c r="G6" s="147"/>
      <c r="H6" s="155" t="s">
        <v>33</v>
      </c>
      <c r="I6" s="155"/>
      <c r="J6" s="160" t="s">
        <v>34</v>
      </c>
      <c r="K6" s="161"/>
    </row>
    <row r="7" spans="1:11" ht="15" customHeight="1" x14ac:dyDescent="0.4">
      <c r="A7" s="147"/>
      <c r="B7" s="147"/>
      <c r="C7" s="147"/>
      <c r="D7" s="147"/>
      <c r="E7" s="147"/>
      <c r="F7" s="147"/>
      <c r="G7" s="147"/>
      <c r="H7" s="155" t="s">
        <v>35</v>
      </c>
      <c r="I7" s="155"/>
      <c r="J7" s="162"/>
      <c r="K7" s="163">
        <f>'Portage Bill'!F72</f>
        <v>0</v>
      </c>
    </row>
    <row r="8" spans="1:11" ht="15" customHeight="1" x14ac:dyDescent="0.4">
      <c r="A8" s="155" t="s">
        <v>36</v>
      </c>
      <c r="B8" s="164">
        <f>'Portage Bill'!B21</f>
        <v>0</v>
      </c>
      <c r="C8" s="165"/>
      <c r="D8" s="165"/>
      <c r="E8" s="147"/>
      <c r="F8" s="147"/>
      <c r="G8" s="147"/>
      <c r="H8" s="155" t="s">
        <v>37</v>
      </c>
      <c r="I8" s="155"/>
      <c r="J8" s="162"/>
      <c r="K8" s="163">
        <f>'Portage Bill'!J72</f>
        <v>0</v>
      </c>
    </row>
    <row r="9" spans="1:11" ht="15" customHeight="1" x14ac:dyDescent="0.4">
      <c r="A9" s="155" t="s">
        <v>38</v>
      </c>
      <c r="B9" s="166" t="str">
        <f>'Portage Bill'!D21</f>
        <v>OS</v>
      </c>
      <c r="C9" s="165"/>
      <c r="D9" s="147"/>
      <c r="E9" s="147"/>
      <c r="F9" s="147"/>
      <c r="G9" s="147"/>
      <c r="H9" s="155" t="s">
        <v>39</v>
      </c>
      <c r="I9" s="155"/>
      <c r="J9" s="155"/>
      <c r="K9" s="147"/>
    </row>
    <row r="10" spans="1:11" ht="15" customHeight="1" x14ac:dyDescent="0.4">
      <c r="A10" s="155" t="s">
        <v>40</v>
      </c>
      <c r="B10" s="167"/>
      <c r="C10" s="168"/>
      <c r="D10" s="147"/>
      <c r="E10" s="147"/>
      <c r="F10" s="147"/>
      <c r="G10" s="155" t="s">
        <v>41</v>
      </c>
      <c r="H10" s="169"/>
      <c r="I10" s="155" t="s">
        <v>42</v>
      </c>
      <c r="J10" s="316"/>
      <c r="K10" s="171"/>
    </row>
    <row r="11" spans="1:11" ht="15" customHeight="1" x14ac:dyDescent="0.4">
      <c r="A11" s="155"/>
      <c r="B11" s="334"/>
      <c r="C11" s="335"/>
      <c r="D11" s="147"/>
      <c r="E11" s="147"/>
      <c r="F11" s="147"/>
      <c r="G11" s="155"/>
      <c r="H11" s="336"/>
      <c r="I11" s="155"/>
      <c r="J11" s="316"/>
      <c r="K11" s="337"/>
    </row>
    <row r="12" spans="1:11" ht="15" customHeight="1" x14ac:dyDescent="0.4">
      <c r="A12" s="344" t="s">
        <v>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</row>
    <row r="13" spans="1:11" ht="15" customHeight="1" x14ac:dyDescent="0.4">
      <c r="A13" s="346" t="s">
        <v>44</v>
      </c>
      <c r="B13" s="338"/>
      <c r="C13" s="175">
        <f>'Portage Bill'!G2</f>
        <v>41365</v>
      </c>
      <c r="D13" s="347" t="s">
        <v>45</v>
      </c>
      <c r="E13" s="175">
        <f>'Portage Bill'!K2</f>
        <v>41394</v>
      </c>
      <c r="F13" s="348" t="s">
        <v>46</v>
      </c>
      <c r="G13" s="177" t="s">
        <v>114</v>
      </c>
      <c r="H13" s="347" t="s">
        <v>47</v>
      </c>
      <c r="I13" s="178">
        <f>'Portage Bill'!F21</f>
        <v>0</v>
      </c>
      <c r="J13" s="347" t="s">
        <v>43</v>
      </c>
      <c r="K13" s="163">
        <f>'Portage Bill'!G21</f>
        <v>0</v>
      </c>
    </row>
    <row r="14" spans="1:11" ht="15" customHeight="1" x14ac:dyDescent="0.4">
      <c r="A14" s="349" t="s">
        <v>140</v>
      </c>
      <c r="B14" s="350"/>
      <c r="C14" s="43"/>
      <c r="D14" s="43"/>
      <c r="E14" s="43"/>
      <c r="F14" s="351"/>
      <c r="G14" s="8"/>
      <c r="H14" s="43"/>
      <c r="I14" s="352"/>
      <c r="J14" s="353"/>
      <c r="K14" s="49">
        <f>'Portage Bill'!I21</f>
        <v>0</v>
      </c>
    </row>
    <row r="15" spans="1:11" ht="15" customHeight="1" x14ac:dyDescent="0.4">
      <c r="A15" s="349" t="s">
        <v>48</v>
      </c>
      <c r="B15" s="83"/>
      <c r="C15" s="43"/>
      <c r="D15" s="43"/>
      <c r="E15" s="43"/>
      <c r="F15" s="43"/>
      <c r="G15" s="43"/>
      <c r="H15" s="43"/>
      <c r="I15" s="43"/>
      <c r="J15" s="8"/>
      <c r="K15" s="49">
        <f>'Portage Bill'!N21</f>
        <v>0</v>
      </c>
    </row>
    <row r="16" spans="1:11" ht="15" customHeight="1" x14ac:dyDescent="0.4">
      <c r="A16" s="349" t="s">
        <v>49</v>
      </c>
      <c r="B16" s="84"/>
      <c r="C16" s="46" t="s">
        <v>18</v>
      </c>
      <c r="D16" s="43"/>
      <c r="E16" s="43"/>
      <c r="F16" s="43"/>
      <c r="G16" s="43"/>
      <c r="H16" s="43"/>
      <c r="I16" s="43"/>
      <c r="J16" s="8"/>
      <c r="K16" s="49">
        <f>'Portage Bill'!O21</f>
        <v>0</v>
      </c>
    </row>
    <row r="17" spans="1:13" ht="15" customHeight="1" x14ac:dyDescent="0.4">
      <c r="A17" s="349" t="s">
        <v>50</v>
      </c>
      <c r="B17" s="81"/>
      <c r="C17" s="274" t="str">
        <f>'Portage Bill'!L5</f>
        <v>Travelling</v>
      </c>
      <c r="D17" s="43"/>
      <c r="E17" s="43"/>
      <c r="F17" s="43"/>
      <c r="G17" s="43"/>
      <c r="H17" s="43"/>
      <c r="I17" s="43"/>
      <c r="J17" s="8"/>
      <c r="K17" s="49">
        <f>'Portage Bill'!L21</f>
        <v>0</v>
      </c>
    </row>
    <row r="18" spans="1:13" ht="15" customHeight="1" x14ac:dyDescent="0.4">
      <c r="A18" s="351" t="s">
        <v>50</v>
      </c>
      <c r="B18" s="43"/>
      <c r="C18" s="81" t="str">
        <f>'Portage Bill'!J6</f>
        <v>FIDELITY</v>
      </c>
      <c r="D18" s="43"/>
      <c r="E18" s="43"/>
      <c r="F18" s="43"/>
      <c r="G18" s="43"/>
      <c r="H18" s="43"/>
      <c r="I18" s="43"/>
      <c r="J18" s="8"/>
      <c r="K18" s="49">
        <f>'Portage Bill'!J21</f>
        <v>0</v>
      </c>
    </row>
    <row r="19" spans="1:13" ht="15" customHeight="1" x14ac:dyDescent="0.4">
      <c r="A19" s="351" t="s">
        <v>50</v>
      </c>
      <c r="B19" s="43"/>
      <c r="C19" s="82" t="str">
        <f>'Portage Bill'!K5</f>
        <v>ALLOWANCE</v>
      </c>
      <c r="D19" s="43"/>
      <c r="E19" s="43"/>
      <c r="F19" s="43"/>
      <c r="G19" s="43"/>
      <c r="H19" s="43"/>
      <c r="I19" s="43"/>
      <c r="J19" s="8"/>
      <c r="K19" s="50">
        <f>'Portage Bill'!K21</f>
        <v>0</v>
      </c>
    </row>
    <row r="20" spans="1:13" ht="15" customHeight="1" x14ac:dyDescent="0.45">
      <c r="A20" s="354" t="s">
        <v>50</v>
      </c>
      <c r="B20" s="44"/>
      <c r="C20" s="280" t="str">
        <f>'Portage Bill'!P6</f>
        <v>Bonus &amp; Extras</v>
      </c>
      <c r="D20" s="69"/>
      <c r="E20" s="67"/>
      <c r="F20" s="44"/>
      <c r="G20" s="44"/>
      <c r="H20" s="44"/>
      <c r="I20" s="44"/>
      <c r="J20" s="44"/>
      <c r="K20" s="355">
        <f>'Portage Bill'!P21</f>
        <v>0</v>
      </c>
    </row>
    <row r="21" spans="1:13" ht="15" customHeight="1" x14ac:dyDescent="0.4">
      <c r="A21" s="42"/>
      <c r="B21" s="42"/>
      <c r="C21" s="42"/>
      <c r="D21" s="42"/>
      <c r="E21" s="42"/>
      <c r="F21" s="42"/>
      <c r="H21" s="51" t="s">
        <v>51</v>
      </c>
      <c r="I21" s="42"/>
      <c r="J21" s="42"/>
      <c r="K21" s="52">
        <f>SUM(K12:K20)</f>
        <v>0</v>
      </c>
    </row>
    <row r="22" spans="1:13" ht="15" customHeight="1" x14ac:dyDescent="0.4">
      <c r="A22" s="42"/>
      <c r="B22" s="42"/>
      <c r="C22" s="42"/>
      <c r="D22" s="42"/>
      <c r="E22" s="42"/>
      <c r="F22" s="42"/>
      <c r="H22" s="51"/>
      <c r="I22" s="42"/>
      <c r="J22" s="42"/>
      <c r="K22" s="52"/>
    </row>
    <row r="23" spans="1:13" ht="15" customHeight="1" x14ac:dyDescent="0.4">
      <c r="A23" s="339" t="s">
        <v>135</v>
      </c>
      <c r="B23" s="340"/>
      <c r="C23" s="340"/>
      <c r="D23" s="340"/>
      <c r="E23" s="340"/>
      <c r="F23" s="340"/>
      <c r="G23" s="341"/>
      <c r="H23" s="342"/>
      <c r="I23" s="340"/>
      <c r="J23" s="340"/>
      <c r="K23" s="356">
        <f>'Portage Bill'!AB21</f>
        <v>0</v>
      </c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339" t="s">
        <v>138</v>
      </c>
      <c r="B25" s="340"/>
      <c r="C25" s="340"/>
      <c r="D25" s="340"/>
      <c r="E25" s="340"/>
      <c r="F25" s="340"/>
      <c r="G25" s="341"/>
      <c r="H25" s="342"/>
      <c r="I25" s="340"/>
      <c r="J25" s="340"/>
      <c r="K25" s="356">
        <f>'Portage Bill'!AC21</f>
        <v>0</v>
      </c>
    </row>
    <row r="26" spans="1:13" ht="15" customHeight="1" x14ac:dyDescent="0.4">
      <c r="A26" s="363"/>
      <c r="B26" s="8"/>
      <c r="C26" s="8"/>
      <c r="D26" s="8"/>
      <c r="E26" s="8"/>
      <c r="F26" s="8"/>
      <c r="G26" s="1"/>
      <c r="H26" s="364"/>
      <c r="I26" s="8"/>
      <c r="J26" s="8"/>
      <c r="K26" s="365"/>
    </row>
    <row r="27" spans="1:13" ht="15" customHeight="1" x14ac:dyDescent="0.4">
      <c r="A27" s="339"/>
      <c r="B27" s="340"/>
      <c r="C27" s="340"/>
      <c r="D27" s="340"/>
      <c r="E27" s="340"/>
      <c r="F27" s="340"/>
      <c r="G27" s="342" t="s">
        <v>139</v>
      </c>
      <c r="H27" s="342"/>
      <c r="I27" s="340"/>
      <c r="J27" s="340"/>
      <c r="K27" s="356">
        <f>SUM(K21:K26)</f>
        <v>0</v>
      </c>
      <c r="M27" s="42"/>
    </row>
    <row r="28" spans="1:13" ht="15" customHeight="1" x14ac:dyDescent="0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357" t="s">
        <v>52</v>
      </c>
      <c r="B29" s="358"/>
      <c r="C29" s="358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88" t="str">
        <f>'Portage Bill'!X7</f>
        <v>Telecon</v>
      </c>
      <c r="B30" s="8"/>
      <c r="C30" s="62">
        <f>'Portage Bill'!X21</f>
        <v>0</v>
      </c>
      <c r="D30" s="42"/>
      <c r="E30" s="42"/>
      <c r="F30" s="42"/>
      <c r="G30" s="42"/>
      <c r="H30" s="42"/>
      <c r="I30" s="42"/>
      <c r="J30" s="42"/>
      <c r="K30" s="62"/>
      <c r="M30" s="42"/>
    </row>
    <row r="31" spans="1:13" ht="15" customHeight="1" x14ac:dyDescent="0.4">
      <c r="A31" s="351" t="s">
        <v>53</v>
      </c>
      <c r="B31" s="8"/>
      <c r="C31" s="62">
        <f>'Portage Bill'!W21</f>
        <v>0</v>
      </c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351" t="s">
        <v>54</v>
      </c>
      <c r="B32" s="8"/>
      <c r="C32" s="62">
        <f>'Portage Bill'!U21</f>
        <v>0</v>
      </c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351" t="s">
        <v>54</v>
      </c>
      <c r="B33" s="8"/>
      <c r="C33" s="62">
        <f>'Portage Bill'!V21</f>
        <v>0</v>
      </c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351" t="s">
        <v>98</v>
      </c>
      <c r="B34" s="8"/>
      <c r="C34" s="62">
        <f>'Portage Bill'!T21</f>
        <v>0</v>
      </c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351" t="s">
        <v>92</v>
      </c>
      <c r="B35" s="8"/>
      <c r="C35" s="62">
        <f>'Portage Bill'!Y21</f>
        <v>0</v>
      </c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351" t="str">
        <f>'Portage Bill'!R7</f>
        <v>***Leave pay</v>
      </c>
      <c r="B36" s="8"/>
      <c r="C36" s="343">
        <f>'Portage Bill'!R21</f>
        <v>0</v>
      </c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351" t="s">
        <v>55</v>
      </c>
      <c r="B37" s="8"/>
      <c r="C37" s="43"/>
      <c r="D37" s="42"/>
      <c r="E37" s="42"/>
      <c r="F37" s="42"/>
      <c r="G37" s="42"/>
      <c r="H37" s="42"/>
      <c r="I37" s="42"/>
      <c r="J37" s="42"/>
      <c r="K37" s="42"/>
      <c r="L37" s="14"/>
    </row>
    <row r="38" spans="1:13" ht="18.75" customHeight="1" x14ac:dyDescent="0.4">
      <c r="A38" s="359" t="str">
        <f>'deduct list'!W9</f>
        <v>Accumulated Leave pay</v>
      </c>
      <c r="B38" s="44"/>
      <c r="C38" s="44"/>
      <c r="D38" s="42"/>
      <c r="E38" s="294">
        <f>'deduct list'!W23</f>
        <v>0</v>
      </c>
      <c r="F38" s="42"/>
      <c r="G38" s="42"/>
      <c r="H38" s="45"/>
      <c r="I38" s="42"/>
      <c r="J38" s="42"/>
      <c r="K38" s="50"/>
      <c r="L38" s="14"/>
    </row>
    <row r="39" spans="1:13" ht="15" customHeight="1" x14ac:dyDescent="0.4">
      <c r="A39" s="369" t="s">
        <v>56</v>
      </c>
      <c r="B39" s="18"/>
      <c r="C39" s="371">
        <f>SUM(C30:C38)</f>
        <v>0</v>
      </c>
      <c r="D39" s="147"/>
      <c r="E39" s="147"/>
      <c r="F39" s="147"/>
      <c r="G39" s="179"/>
      <c r="H39" s="179"/>
      <c r="I39" s="179"/>
      <c r="J39" s="179"/>
      <c r="K39" s="360"/>
      <c r="L39" s="14"/>
    </row>
    <row r="40" spans="1:13" ht="15" customHeight="1" x14ac:dyDescent="0.45">
      <c r="A40" s="48"/>
      <c r="B40" s="42"/>
      <c r="C40" s="62"/>
      <c r="D40" s="147"/>
      <c r="E40" s="147"/>
      <c r="F40" s="147"/>
      <c r="G40" s="147"/>
      <c r="H40" s="367" t="s">
        <v>136</v>
      </c>
      <c r="I40" s="75"/>
      <c r="J40" s="75"/>
      <c r="K40" s="370">
        <f>'Portage Bill'!S21</f>
        <v>0</v>
      </c>
      <c r="L40" s="14"/>
    </row>
    <row r="41" spans="1:13" ht="15" customHeight="1" x14ac:dyDescent="0.45">
      <c r="A41" s="48"/>
      <c r="B41" s="42"/>
      <c r="C41" s="368"/>
      <c r="D41" s="147"/>
      <c r="E41" s="147"/>
      <c r="F41" s="147"/>
      <c r="G41" s="147"/>
      <c r="H41" s="367"/>
      <c r="I41" s="75"/>
      <c r="J41" s="75"/>
      <c r="K41" s="361"/>
      <c r="L41" s="14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366" t="s">
        <v>137</v>
      </c>
      <c r="I42" s="362"/>
      <c r="J42" s="75"/>
      <c r="K42" s="366">
        <f>'Portage Bill'!AD21</f>
        <v>0</v>
      </c>
      <c r="L42" s="14"/>
    </row>
    <row r="43" spans="1:13" ht="22.5" customHeight="1" x14ac:dyDescent="0.4">
      <c r="A43" s="155" t="s">
        <v>57</v>
      </c>
      <c r="B43" s="147"/>
      <c r="C43" s="165"/>
      <c r="D43" s="165"/>
      <c r="E43" s="208"/>
      <c r="F43" s="179" t="s">
        <v>58</v>
      </c>
      <c r="G43" s="154"/>
      <c r="H43" s="208"/>
      <c r="I43" s="165"/>
      <c r="J43" s="165"/>
      <c r="K43" s="165"/>
      <c r="L43" s="14"/>
    </row>
    <row r="44" spans="1:13" ht="15" customHeight="1" x14ac:dyDescent="0.4">
      <c r="A44" s="155" t="s">
        <v>59</v>
      </c>
      <c r="B44" s="14"/>
      <c r="C44" s="209"/>
      <c r="D44" s="209"/>
      <c r="E44" s="209"/>
      <c r="F44" s="209"/>
      <c r="G44" s="209"/>
      <c r="H44" s="209"/>
      <c r="I44" s="209"/>
      <c r="J44" s="209"/>
      <c r="K44" s="209"/>
      <c r="L44" s="14"/>
    </row>
    <row r="45" spans="1:13" ht="15" customHeight="1" x14ac:dyDescent="0.4">
      <c r="A45" s="155" t="s">
        <v>60</v>
      </c>
      <c r="B45" s="14"/>
      <c r="C45" s="14"/>
      <c r="D45" s="14"/>
      <c r="E45" s="210"/>
      <c r="F45" s="209"/>
      <c r="G45" s="209"/>
      <c r="H45" s="209"/>
      <c r="I45" s="209"/>
      <c r="J45" s="209"/>
      <c r="K45" s="209"/>
      <c r="L45" s="14"/>
    </row>
    <row r="46" spans="1:13" ht="15" customHeight="1" x14ac:dyDescent="0.4">
      <c r="A46" s="155" t="s">
        <v>61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3" ht="21" customHeight="1" x14ac:dyDescent="0.4">
      <c r="A47" s="211" t="s">
        <v>106</v>
      </c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 t="s">
        <v>62</v>
      </c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2" ht="15" customHeight="1" x14ac:dyDescent="0.4">
      <c r="A49" s="147"/>
      <c r="B49" s="14"/>
      <c r="C49" s="14"/>
      <c r="D49" s="14"/>
      <c r="E49" s="179" t="s">
        <v>30</v>
      </c>
      <c r="F49" s="214"/>
      <c r="G49" s="233">
        <f>'Portage Bill'!K2</f>
        <v>41394</v>
      </c>
      <c r="H49" s="14"/>
      <c r="I49" s="14"/>
      <c r="J49" s="14"/>
      <c r="K49" s="14"/>
      <c r="L49" s="14"/>
    </row>
    <row r="50" spans="1:12" ht="24" customHeight="1" x14ac:dyDescent="0.4">
      <c r="A50" s="43"/>
      <c r="B50" s="53"/>
      <c r="C50" s="53"/>
      <c r="D50" s="53"/>
      <c r="G50" s="1"/>
      <c r="H50" s="53"/>
      <c r="I50" s="53"/>
      <c r="J50" s="53"/>
      <c r="K50" s="53"/>
    </row>
    <row r="51" spans="1:12" ht="15" customHeight="1" x14ac:dyDescent="0.35">
      <c r="A51" s="58" t="s">
        <v>63</v>
      </c>
      <c r="B51" s="56"/>
      <c r="C51" s="56"/>
      <c r="D51" s="56"/>
      <c r="H51" s="59" t="s">
        <v>64</v>
      </c>
      <c r="I51" s="57"/>
      <c r="J51" s="57"/>
      <c r="K51" s="57"/>
    </row>
    <row r="52" spans="1:12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2" ht="17.100000000000001" customHeight="1" x14ac:dyDescent="0.35">
      <c r="J53" s="55" t="s">
        <v>65</v>
      </c>
    </row>
    <row r="54" spans="1:12" ht="17.100000000000001" customHeight="1" x14ac:dyDescent="0.35"/>
  </sheetData>
  <sheetProtection formatCells="0" formatColumns="0" formatRows="0"/>
  <phoneticPr fontId="14" type="noConversion"/>
  <pageMargins left="1.1599999999999999" right="0.35433070866141703" top="0.39370078740157499" bottom="0.39370078740157499" header="0.511811023622047" footer="0.511811023622047"/>
  <pageSetup paperSize="9" scale="95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M54"/>
  <sheetViews>
    <sheetView view="pageLayout" zoomScaleNormal="100" workbookViewId="0">
      <selection activeCell="A4" sqref="A3:C4"/>
    </sheetView>
  </sheetViews>
  <sheetFormatPr defaultRowHeight="12.75" x14ac:dyDescent="0.35"/>
  <cols>
    <col min="1" max="1" width="10.6640625" customWidth="1"/>
    <col min="2" max="2" width="11.86328125" customWidth="1"/>
    <col min="3" max="3" width="12.1328125" customWidth="1"/>
    <col min="4" max="4" width="4.1328125" customWidth="1"/>
    <col min="5" max="5" width="12.33203125" customWidth="1"/>
    <col min="6" max="6" width="3.33203125" customWidth="1"/>
    <col min="7" max="7" width="10.1328125" customWidth="1"/>
    <col min="8" max="8" width="7.46484375" customWidth="1"/>
    <col min="10" max="10" width="5.33203125" customWidth="1"/>
    <col min="11" max="11" width="10.46484375" customWidth="1"/>
  </cols>
  <sheetData>
    <row r="1" spans="1:11" ht="13.15" x14ac:dyDescent="0.4">
      <c r="A1" s="147"/>
      <c r="B1" s="147"/>
      <c r="C1" s="147"/>
      <c r="D1" s="147"/>
      <c r="E1" s="147"/>
      <c r="F1" s="147"/>
      <c r="G1" s="147"/>
      <c r="H1" s="147"/>
      <c r="I1" s="148" t="s">
        <v>80</v>
      </c>
      <c r="J1" s="149" t="s">
        <v>82</v>
      </c>
      <c r="K1" s="150" t="s">
        <v>89</v>
      </c>
    </row>
    <row r="2" spans="1:11" ht="13.15" x14ac:dyDescent="0.4">
      <c r="A2" s="147"/>
      <c r="B2" s="147"/>
      <c r="C2" s="147"/>
      <c r="D2" s="147"/>
      <c r="E2" s="147"/>
      <c r="F2" s="147"/>
      <c r="G2" s="147"/>
      <c r="H2" s="147"/>
      <c r="I2" s="148" t="s">
        <v>81</v>
      </c>
      <c r="J2" s="149" t="s">
        <v>82</v>
      </c>
      <c r="K2" s="151" t="s">
        <v>83</v>
      </c>
    </row>
    <row r="3" spans="1:11" ht="19.899999999999999" x14ac:dyDescent="0.5">
      <c r="A3" s="147"/>
      <c r="B3" s="147"/>
      <c r="C3" s="147"/>
      <c r="D3" s="319" t="s">
        <v>32</v>
      </c>
      <c r="E3" s="147"/>
      <c r="F3" s="147"/>
      <c r="G3" s="147"/>
      <c r="H3" s="147"/>
      <c r="I3" s="153"/>
      <c r="J3" s="154"/>
      <c r="K3" s="154"/>
    </row>
    <row r="4" spans="1:11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</row>
    <row r="6" spans="1:11" ht="15" x14ac:dyDescent="0.4">
      <c r="A6" s="155" t="str">
        <f>'Portage Bill'!B3</f>
        <v xml:space="preserve">Vessel:     </v>
      </c>
      <c r="B6" s="156">
        <f>'Portage Bill'!C3</f>
        <v>0</v>
      </c>
      <c r="C6" s="157"/>
      <c r="D6" s="158"/>
      <c r="E6" s="159"/>
      <c r="F6" s="147"/>
      <c r="G6" s="147"/>
      <c r="H6" s="155" t="s">
        <v>33</v>
      </c>
      <c r="I6" s="155"/>
      <c r="J6" s="160" t="s">
        <v>34</v>
      </c>
      <c r="K6" s="161"/>
    </row>
    <row r="7" spans="1:11" ht="15" customHeight="1" x14ac:dyDescent="0.4">
      <c r="A7" s="147"/>
      <c r="B7" s="147"/>
      <c r="C7" s="147"/>
      <c r="D7" s="147"/>
      <c r="E7" s="147"/>
      <c r="F7" s="147"/>
      <c r="G7" s="147"/>
      <c r="H7" s="155" t="s">
        <v>35</v>
      </c>
      <c r="I7" s="155"/>
      <c r="J7" s="162"/>
      <c r="K7" s="163">
        <f>'Portage Bill'!F73</f>
        <v>0</v>
      </c>
    </row>
    <row r="8" spans="1:11" ht="15" customHeight="1" x14ac:dyDescent="0.4">
      <c r="A8" s="155" t="s">
        <v>36</v>
      </c>
      <c r="B8" s="164">
        <f>'Portage Bill'!B22</f>
        <v>0</v>
      </c>
      <c r="C8" s="165"/>
      <c r="D8" s="165"/>
      <c r="E8" s="147"/>
      <c r="F8" s="147"/>
      <c r="G8" s="147"/>
      <c r="H8" s="155" t="s">
        <v>37</v>
      </c>
      <c r="I8" s="155"/>
      <c r="J8" s="162"/>
      <c r="K8" s="163">
        <f>'Portage Bill'!J73</f>
        <v>0</v>
      </c>
    </row>
    <row r="9" spans="1:11" ht="15" customHeight="1" x14ac:dyDescent="0.4">
      <c r="A9" s="155" t="s">
        <v>38</v>
      </c>
      <c r="B9" s="166" t="str">
        <f>'Portage Bill'!D22</f>
        <v>OS</v>
      </c>
      <c r="C9" s="165"/>
      <c r="D9" s="147"/>
      <c r="E9" s="147"/>
      <c r="F9" s="147"/>
      <c r="G9" s="147"/>
      <c r="H9" s="155" t="s">
        <v>39</v>
      </c>
      <c r="I9" s="155"/>
      <c r="J9" s="155"/>
      <c r="K9" s="147"/>
    </row>
    <row r="10" spans="1:11" ht="15" customHeight="1" x14ac:dyDescent="0.4">
      <c r="A10" s="155" t="s">
        <v>40</v>
      </c>
      <c r="B10" s="167"/>
      <c r="C10" s="168"/>
      <c r="D10" s="147"/>
      <c r="E10" s="147"/>
      <c r="F10" s="147"/>
      <c r="G10" s="155" t="s">
        <v>41</v>
      </c>
      <c r="H10" s="169"/>
      <c r="I10" s="155" t="s">
        <v>42</v>
      </c>
      <c r="J10" s="316"/>
      <c r="K10" s="171"/>
    </row>
    <row r="11" spans="1:11" ht="15" customHeight="1" x14ac:dyDescent="0.4">
      <c r="A11" s="155"/>
      <c r="B11" s="334"/>
      <c r="C11" s="335"/>
      <c r="D11" s="147"/>
      <c r="E11" s="147"/>
      <c r="F11" s="147"/>
      <c r="G11" s="155"/>
      <c r="H11" s="336"/>
      <c r="I11" s="155"/>
      <c r="J11" s="316"/>
      <c r="K11" s="337"/>
    </row>
    <row r="12" spans="1:11" ht="15" customHeight="1" x14ac:dyDescent="0.4">
      <c r="A12" s="344" t="s">
        <v>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</row>
    <row r="13" spans="1:11" ht="15" customHeight="1" x14ac:dyDescent="0.4">
      <c r="A13" s="346" t="s">
        <v>44</v>
      </c>
      <c r="B13" s="338"/>
      <c r="C13" s="175">
        <f>'Portage Bill'!G2</f>
        <v>41365</v>
      </c>
      <c r="D13" s="347" t="s">
        <v>45</v>
      </c>
      <c r="E13" s="175">
        <f>'Portage Bill'!K2</f>
        <v>41394</v>
      </c>
      <c r="F13" s="348" t="s">
        <v>46</v>
      </c>
      <c r="G13" s="177" t="s">
        <v>114</v>
      </c>
      <c r="H13" s="347" t="s">
        <v>47</v>
      </c>
      <c r="I13" s="178">
        <f>'Portage Bill'!F22</f>
        <v>0</v>
      </c>
      <c r="J13" s="347" t="s">
        <v>43</v>
      </c>
      <c r="K13" s="163">
        <f>'Portage Bill'!G22</f>
        <v>0</v>
      </c>
    </row>
    <row r="14" spans="1:11" ht="15" customHeight="1" x14ac:dyDescent="0.4">
      <c r="A14" s="349" t="s">
        <v>140</v>
      </c>
      <c r="B14" s="350"/>
      <c r="C14" s="43"/>
      <c r="D14" s="43"/>
      <c r="E14" s="43"/>
      <c r="F14" s="351"/>
      <c r="G14" s="8"/>
      <c r="H14" s="43"/>
      <c r="I14" s="352"/>
      <c r="J14" s="353"/>
      <c r="K14" s="49">
        <f>'Portage Bill'!I22</f>
        <v>0</v>
      </c>
    </row>
    <row r="15" spans="1:11" ht="15" customHeight="1" x14ac:dyDescent="0.4">
      <c r="A15" s="349" t="s">
        <v>48</v>
      </c>
      <c r="B15" s="83"/>
      <c r="C15" s="43"/>
      <c r="D15" s="43"/>
      <c r="E15" s="43"/>
      <c r="F15" s="43"/>
      <c r="G15" s="43"/>
      <c r="H15" s="43"/>
      <c r="I15" s="43"/>
      <c r="J15" s="8"/>
      <c r="K15" s="49">
        <f>'Portage Bill'!N22</f>
        <v>0</v>
      </c>
    </row>
    <row r="16" spans="1:11" ht="15" customHeight="1" x14ac:dyDescent="0.4">
      <c r="A16" s="349" t="s">
        <v>49</v>
      </c>
      <c r="B16" s="84"/>
      <c r="C16" s="46" t="s">
        <v>18</v>
      </c>
      <c r="D16" s="43"/>
      <c r="E16" s="43"/>
      <c r="F16" s="43"/>
      <c r="G16" s="43"/>
      <c r="H16" s="43"/>
      <c r="I16" s="43"/>
      <c r="J16" s="8"/>
      <c r="K16" s="49">
        <f>'Portage Bill'!O22</f>
        <v>0</v>
      </c>
    </row>
    <row r="17" spans="1:13" ht="15" customHeight="1" x14ac:dyDescent="0.4">
      <c r="A17" s="349" t="s">
        <v>50</v>
      </c>
      <c r="B17" s="81"/>
      <c r="C17" s="274" t="str">
        <f>'Portage Bill'!L5</f>
        <v>Travelling</v>
      </c>
      <c r="D17" s="43"/>
      <c r="E17" s="43"/>
      <c r="F17" s="43"/>
      <c r="G17" s="43"/>
      <c r="H17" s="43"/>
      <c r="I17" s="43"/>
      <c r="J17" s="8"/>
      <c r="K17" s="49">
        <f>'Portage Bill'!L22</f>
        <v>0</v>
      </c>
    </row>
    <row r="18" spans="1:13" ht="15" customHeight="1" x14ac:dyDescent="0.4">
      <c r="A18" s="351" t="s">
        <v>50</v>
      </c>
      <c r="B18" s="43"/>
      <c r="C18" s="81" t="str">
        <f>'Portage Bill'!J6</f>
        <v>FIDELITY</v>
      </c>
      <c r="D18" s="43"/>
      <c r="E18" s="43"/>
      <c r="F18" s="43"/>
      <c r="G18" s="43"/>
      <c r="H18" s="43"/>
      <c r="I18" s="43"/>
      <c r="J18" s="8"/>
      <c r="K18" s="49">
        <f>'Portage Bill'!J22</f>
        <v>0</v>
      </c>
    </row>
    <row r="19" spans="1:13" ht="15" customHeight="1" x14ac:dyDescent="0.4">
      <c r="A19" s="351" t="s">
        <v>50</v>
      </c>
      <c r="B19" s="43"/>
      <c r="C19" s="82" t="str">
        <f>'Portage Bill'!K5</f>
        <v>ALLOWANCE</v>
      </c>
      <c r="D19" s="43"/>
      <c r="E19" s="43"/>
      <c r="F19" s="43"/>
      <c r="G19" s="43"/>
      <c r="H19" s="43"/>
      <c r="I19" s="43"/>
      <c r="J19" s="8"/>
      <c r="K19" s="50">
        <f>'Portage Bill'!K22</f>
        <v>0</v>
      </c>
    </row>
    <row r="20" spans="1:13" ht="15" customHeight="1" x14ac:dyDescent="0.45">
      <c r="A20" s="354" t="s">
        <v>50</v>
      </c>
      <c r="B20" s="44"/>
      <c r="C20" s="280" t="str">
        <f>'Portage Bill'!P6</f>
        <v>Bonus &amp; Extras</v>
      </c>
      <c r="D20" s="69"/>
      <c r="E20" s="67"/>
      <c r="F20" s="44"/>
      <c r="G20" s="44"/>
      <c r="H20" s="44"/>
      <c r="I20" s="44"/>
      <c r="J20" s="44"/>
      <c r="K20" s="355">
        <f>'Portage Bill'!P22</f>
        <v>0</v>
      </c>
    </row>
    <row r="21" spans="1:13" ht="15" customHeight="1" x14ac:dyDescent="0.4">
      <c r="A21" s="42"/>
      <c r="B21" s="42"/>
      <c r="C21" s="42"/>
      <c r="D21" s="42"/>
      <c r="E21" s="42"/>
      <c r="F21" s="42"/>
      <c r="H21" s="51" t="s">
        <v>51</v>
      </c>
      <c r="I21" s="42"/>
      <c r="J21" s="42"/>
      <c r="K21" s="52">
        <f>SUM(K12:K20)</f>
        <v>0</v>
      </c>
    </row>
    <row r="22" spans="1:13" ht="15" customHeight="1" x14ac:dyDescent="0.4">
      <c r="A22" s="42"/>
      <c r="B22" s="42"/>
      <c r="C22" s="42"/>
      <c r="D22" s="42"/>
      <c r="E22" s="42"/>
      <c r="F22" s="42"/>
      <c r="H22" s="51"/>
      <c r="I22" s="42"/>
      <c r="J22" s="42"/>
      <c r="K22" s="52"/>
    </row>
    <row r="23" spans="1:13" ht="15" customHeight="1" x14ac:dyDescent="0.4">
      <c r="A23" s="339" t="s">
        <v>135</v>
      </c>
      <c r="B23" s="340"/>
      <c r="C23" s="340"/>
      <c r="D23" s="340"/>
      <c r="E23" s="340"/>
      <c r="F23" s="340"/>
      <c r="G23" s="341"/>
      <c r="H23" s="342"/>
      <c r="I23" s="340"/>
      <c r="J23" s="340"/>
      <c r="K23" s="356">
        <f>'Portage Bill'!AB22</f>
        <v>0</v>
      </c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339" t="s">
        <v>138</v>
      </c>
      <c r="B25" s="340"/>
      <c r="C25" s="340"/>
      <c r="D25" s="340"/>
      <c r="E25" s="340"/>
      <c r="F25" s="340"/>
      <c r="G25" s="341"/>
      <c r="H25" s="342"/>
      <c r="I25" s="340"/>
      <c r="J25" s="340"/>
      <c r="K25" s="356">
        <f>'Portage Bill'!AC22</f>
        <v>0</v>
      </c>
    </row>
    <row r="26" spans="1:13" ht="15" customHeight="1" x14ac:dyDescent="0.4">
      <c r="A26" s="363"/>
      <c r="B26" s="8"/>
      <c r="C26" s="8"/>
      <c r="D26" s="8"/>
      <c r="E26" s="8"/>
      <c r="F26" s="8"/>
      <c r="G26" s="1"/>
      <c r="H26" s="364"/>
      <c r="I26" s="8"/>
      <c r="J26" s="8"/>
      <c r="K26" s="365"/>
    </row>
    <row r="27" spans="1:13" ht="15" customHeight="1" x14ac:dyDescent="0.4">
      <c r="A27" s="339"/>
      <c r="B27" s="340"/>
      <c r="C27" s="340"/>
      <c r="D27" s="340"/>
      <c r="E27" s="340"/>
      <c r="F27" s="340"/>
      <c r="G27" s="342" t="s">
        <v>139</v>
      </c>
      <c r="H27" s="342"/>
      <c r="I27" s="340"/>
      <c r="J27" s="340"/>
      <c r="K27" s="356">
        <f>SUM(K21:K26)</f>
        <v>0</v>
      </c>
      <c r="M27" s="42"/>
    </row>
    <row r="28" spans="1:13" ht="15" customHeight="1" x14ac:dyDescent="0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357" t="s">
        <v>52</v>
      </c>
      <c r="B29" s="358"/>
      <c r="C29" s="358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88" t="str">
        <f>'Portage Bill'!X7</f>
        <v>Telecon</v>
      </c>
      <c r="B30" s="8"/>
      <c r="C30" s="62">
        <f>'Portage Bill'!X22</f>
        <v>0</v>
      </c>
      <c r="D30" s="42"/>
      <c r="E30" s="42"/>
      <c r="F30" s="42"/>
      <c r="G30" s="42"/>
      <c r="H30" s="42"/>
      <c r="I30" s="42"/>
      <c r="J30" s="42"/>
      <c r="K30" s="62"/>
      <c r="M30" s="42"/>
    </row>
    <row r="31" spans="1:13" ht="15" customHeight="1" x14ac:dyDescent="0.4">
      <c r="A31" s="351" t="s">
        <v>53</v>
      </c>
      <c r="B31" s="8"/>
      <c r="C31" s="62">
        <f>'Portage Bill'!W22</f>
        <v>0</v>
      </c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351" t="s">
        <v>54</v>
      </c>
      <c r="B32" s="8"/>
      <c r="C32" s="62">
        <f>'Portage Bill'!U22</f>
        <v>0</v>
      </c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351" t="s">
        <v>54</v>
      </c>
      <c r="B33" s="8"/>
      <c r="C33" s="62">
        <f>'Portage Bill'!V22</f>
        <v>0</v>
      </c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351" t="s">
        <v>98</v>
      </c>
      <c r="B34" s="8"/>
      <c r="C34" s="62">
        <f>'Portage Bill'!T22</f>
        <v>0</v>
      </c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351" t="s">
        <v>92</v>
      </c>
      <c r="B35" s="8"/>
      <c r="C35" s="62">
        <f>'Portage Bill'!Y22</f>
        <v>0</v>
      </c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351" t="str">
        <f>'Portage Bill'!R7</f>
        <v>***Leave pay</v>
      </c>
      <c r="B36" s="8"/>
      <c r="C36" s="343">
        <f>'Portage Bill'!R22</f>
        <v>0</v>
      </c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351" t="s">
        <v>55</v>
      </c>
      <c r="B37" s="8"/>
      <c r="C37" s="43"/>
      <c r="D37" s="42"/>
      <c r="E37" s="42"/>
      <c r="F37" s="42"/>
      <c r="G37" s="42"/>
      <c r="H37" s="42"/>
      <c r="I37" s="42"/>
      <c r="J37" s="42"/>
      <c r="K37" s="42"/>
      <c r="L37" s="14"/>
    </row>
    <row r="38" spans="1:13" ht="17.25" customHeight="1" x14ac:dyDescent="0.4">
      <c r="A38" s="359" t="str">
        <f>'deduct list'!W9</f>
        <v>Accumulated Leave pay</v>
      </c>
      <c r="B38" s="44"/>
      <c r="C38" s="44"/>
      <c r="D38" s="42"/>
      <c r="E38" s="294">
        <f>'deduct list'!W24</f>
        <v>0</v>
      </c>
      <c r="F38" s="42"/>
      <c r="G38" s="42"/>
      <c r="H38" s="45"/>
      <c r="I38" s="42"/>
      <c r="J38" s="42"/>
      <c r="K38" s="50"/>
      <c r="L38" s="14"/>
    </row>
    <row r="39" spans="1:13" ht="15" customHeight="1" x14ac:dyDescent="0.4">
      <c r="A39" s="369" t="s">
        <v>56</v>
      </c>
      <c r="B39" s="18"/>
      <c r="C39" s="371">
        <f>SUM(C30:C38)</f>
        <v>0</v>
      </c>
      <c r="D39" s="147"/>
      <c r="E39" s="147"/>
      <c r="F39" s="147"/>
      <c r="G39" s="179"/>
      <c r="H39" s="179"/>
      <c r="I39" s="179"/>
      <c r="J39" s="179"/>
      <c r="K39" s="360"/>
      <c r="L39" s="14"/>
    </row>
    <row r="40" spans="1:13" ht="15" customHeight="1" x14ac:dyDescent="0.45">
      <c r="A40" s="48"/>
      <c r="B40" s="42"/>
      <c r="C40" s="62"/>
      <c r="D40" s="147"/>
      <c r="E40" s="147"/>
      <c r="F40" s="147"/>
      <c r="G40" s="147"/>
      <c r="H40" s="367" t="s">
        <v>136</v>
      </c>
      <c r="I40" s="75"/>
      <c r="J40" s="75"/>
      <c r="K40" s="370">
        <f>'Portage Bill'!S22</f>
        <v>0</v>
      </c>
      <c r="L40" s="14"/>
    </row>
    <row r="41" spans="1:13" ht="15" customHeight="1" x14ac:dyDescent="0.45">
      <c r="A41" s="48"/>
      <c r="B41" s="42"/>
      <c r="C41" s="368"/>
      <c r="D41" s="147"/>
      <c r="E41" s="147"/>
      <c r="F41" s="147"/>
      <c r="G41" s="147"/>
      <c r="H41" s="367"/>
      <c r="I41" s="75"/>
      <c r="J41" s="75"/>
      <c r="K41" s="361"/>
      <c r="L41" s="14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366" t="s">
        <v>137</v>
      </c>
      <c r="I42" s="362"/>
      <c r="J42" s="75"/>
      <c r="K42" s="366">
        <f>'Portage Bill'!AD22</f>
        <v>0</v>
      </c>
      <c r="L42" s="14"/>
    </row>
    <row r="43" spans="1:13" ht="22.5" customHeight="1" x14ac:dyDescent="0.4">
      <c r="A43" s="155" t="s">
        <v>57</v>
      </c>
      <c r="B43" s="147"/>
      <c r="C43" s="165"/>
      <c r="D43" s="165"/>
      <c r="E43" s="208"/>
      <c r="F43" s="179" t="s">
        <v>58</v>
      </c>
      <c r="G43" s="154"/>
      <c r="H43" s="208"/>
      <c r="I43" s="165"/>
      <c r="J43" s="165"/>
      <c r="K43" s="165"/>
      <c r="L43" s="14"/>
    </row>
    <row r="44" spans="1:13" ht="15" customHeight="1" x14ac:dyDescent="0.4">
      <c r="A44" s="155" t="s">
        <v>59</v>
      </c>
      <c r="B44" s="14"/>
      <c r="C44" s="209"/>
      <c r="D44" s="209"/>
      <c r="E44" s="209"/>
      <c r="F44" s="209"/>
      <c r="G44" s="209"/>
      <c r="H44" s="209"/>
      <c r="I44" s="209"/>
      <c r="J44" s="209"/>
      <c r="K44" s="209"/>
      <c r="L44" s="14"/>
    </row>
    <row r="45" spans="1:13" ht="15" customHeight="1" x14ac:dyDescent="0.4">
      <c r="A45" s="155" t="s">
        <v>60</v>
      </c>
      <c r="B45" s="14"/>
      <c r="C45" s="14"/>
      <c r="D45" s="14"/>
      <c r="E45" s="210"/>
      <c r="F45" s="209"/>
      <c r="G45" s="209"/>
      <c r="H45" s="209"/>
      <c r="I45" s="209"/>
      <c r="J45" s="209"/>
      <c r="K45" s="209"/>
      <c r="L45" s="14"/>
    </row>
    <row r="46" spans="1:13" ht="15" customHeight="1" x14ac:dyDescent="0.4">
      <c r="A46" s="155" t="s">
        <v>61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3" ht="21" customHeight="1" x14ac:dyDescent="0.4">
      <c r="A47" s="211" t="s">
        <v>106</v>
      </c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 t="s">
        <v>62</v>
      </c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2" ht="15" customHeight="1" x14ac:dyDescent="0.4">
      <c r="A49" s="147"/>
      <c r="B49" s="14"/>
      <c r="C49" s="14"/>
      <c r="D49" s="14"/>
      <c r="E49" s="179" t="s">
        <v>30</v>
      </c>
      <c r="F49" s="214"/>
      <c r="G49" s="233">
        <f>'Portage Bill'!K2</f>
        <v>41394</v>
      </c>
      <c r="H49" s="14"/>
      <c r="I49" s="14"/>
      <c r="J49" s="14"/>
      <c r="K49" s="14"/>
      <c r="L49" s="14"/>
    </row>
    <row r="50" spans="1:12" ht="24" customHeight="1" x14ac:dyDescent="0.4">
      <c r="A50" s="43"/>
      <c r="B50" s="53"/>
      <c r="C50" s="53"/>
      <c r="D50" s="53"/>
      <c r="G50" s="1"/>
      <c r="H50" s="53"/>
      <c r="I50" s="53"/>
      <c r="J50" s="53"/>
      <c r="K50" s="53"/>
    </row>
    <row r="51" spans="1:12" ht="15" customHeight="1" x14ac:dyDescent="0.35">
      <c r="A51" s="58" t="s">
        <v>63</v>
      </c>
      <c r="B51" s="56"/>
      <c r="C51" s="56"/>
      <c r="D51" s="56"/>
      <c r="H51" s="59" t="s">
        <v>64</v>
      </c>
      <c r="I51" s="57"/>
      <c r="J51" s="57"/>
      <c r="K51" s="57"/>
    </row>
    <row r="52" spans="1:12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2" ht="17.100000000000001" customHeight="1" x14ac:dyDescent="0.35">
      <c r="J53" s="55" t="s">
        <v>65</v>
      </c>
    </row>
    <row r="54" spans="1:12" ht="17.100000000000001" customHeight="1" x14ac:dyDescent="0.35"/>
  </sheetData>
  <sheetProtection formatCells="0" formatColumns="0" formatRows="0"/>
  <phoneticPr fontId="14" type="noConversion"/>
  <pageMargins left="0.74803149606299202" right="0.35433070866141703" top="0.39370078740157499" bottom="0.39370078740157499" header="0.511811023622047" footer="0.511811023622047"/>
  <pageSetup paperSize="9" scale="95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view="pageLayout" zoomScaleNormal="106" workbookViewId="0">
      <selection activeCell="A3" sqref="A3:C3"/>
    </sheetView>
  </sheetViews>
  <sheetFormatPr defaultRowHeight="12.75" x14ac:dyDescent="0.35"/>
  <cols>
    <col min="1" max="1" width="11.53125" customWidth="1"/>
    <col min="2" max="2" width="9.6640625" customWidth="1"/>
    <col min="3" max="3" width="11.53125" customWidth="1"/>
    <col min="4" max="4" width="4.1328125" customWidth="1"/>
    <col min="5" max="5" width="11.33203125" customWidth="1"/>
    <col min="6" max="6" width="3.33203125" customWidth="1"/>
    <col min="7" max="7" width="8.1328125" customWidth="1"/>
    <col min="8" max="8" width="7" customWidth="1"/>
    <col min="10" max="10" width="6.86328125" customWidth="1"/>
    <col min="11" max="11" width="9.1328125" customWidth="1"/>
  </cols>
  <sheetData>
    <row r="1" spans="1:12" ht="13.15" x14ac:dyDescent="0.4">
      <c r="A1" s="147"/>
      <c r="B1" s="147"/>
      <c r="C1" s="147"/>
      <c r="D1" s="147"/>
      <c r="E1" s="147"/>
      <c r="F1" s="147"/>
      <c r="G1" s="147"/>
      <c r="H1" s="147"/>
      <c r="I1" s="148" t="s">
        <v>80</v>
      </c>
      <c r="J1" s="149" t="s">
        <v>82</v>
      </c>
      <c r="K1" s="150" t="s">
        <v>89</v>
      </c>
      <c r="L1" s="14"/>
    </row>
    <row r="2" spans="1:12" ht="13.15" x14ac:dyDescent="0.4">
      <c r="A2" s="147"/>
      <c r="B2" s="147"/>
      <c r="C2" s="147"/>
      <c r="D2" s="147"/>
      <c r="E2" s="147"/>
      <c r="F2" s="147"/>
      <c r="G2" s="147"/>
      <c r="H2" s="147"/>
      <c r="I2" s="148" t="s">
        <v>81</v>
      </c>
      <c r="J2" s="149" t="s">
        <v>82</v>
      </c>
      <c r="K2" s="151" t="s">
        <v>83</v>
      </c>
      <c r="L2" s="14"/>
    </row>
    <row r="3" spans="1:12" ht="19.899999999999999" x14ac:dyDescent="0.5">
      <c r="A3" s="147"/>
      <c r="B3" s="147"/>
      <c r="C3" s="147"/>
      <c r="D3" s="319" t="s">
        <v>32</v>
      </c>
      <c r="E3" s="147"/>
      <c r="F3" s="147"/>
      <c r="G3" s="147"/>
      <c r="H3" s="147"/>
      <c r="I3" s="153"/>
      <c r="J3" s="154"/>
      <c r="K3" s="154"/>
      <c r="L3" s="14"/>
    </row>
    <row r="4" spans="1:12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"/>
    </row>
    <row r="5" spans="1:12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"/>
    </row>
    <row r="6" spans="1:12" ht="15" x14ac:dyDescent="0.4">
      <c r="A6" s="155" t="str">
        <f>'Portage Bill'!B3</f>
        <v xml:space="preserve">Vessel:     </v>
      </c>
      <c r="B6" s="156">
        <f>'Portage Bill'!C3</f>
        <v>0</v>
      </c>
      <c r="C6" s="157"/>
      <c r="D6" s="158"/>
      <c r="E6" s="159"/>
      <c r="F6" s="147"/>
      <c r="G6" s="147"/>
      <c r="H6" s="155" t="s">
        <v>33</v>
      </c>
      <c r="I6" s="155"/>
      <c r="J6" s="160" t="s">
        <v>34</v>
      </c>
      <c r="K6" s="161"/>
      <c r="L6" s="14"/>
    </row>
    <row r="7" spans="1:12" ht="15" customHeight="1" x14ac:dyDescent="0.4">
      <c r="A7" s="147"/>
      <c r="B7" s="147"/>
      <c r="C7" s="147"/>
      <c r="D7" s="147"/>
      <c r="E7" s="147"/>
      <c r="F7" s="147"/>
      <c r="G7" s="147"/>
      <c r="H7" s="155" t="s">
        <v>35</v>
      </c>
      <c r="I7" s="155"/>
      <c r="J7" s="162"/>
      <c r="K7" s="163">
        <f>'Portage Bill'!F74</f>
        <v>0</v>
      </c>
      <c r="L7" s="14"/>
    </row>
    <row r="8" spans="1:12" ht="15" customHeight="1" x14ac:dyDescent="0.4">
      <c r="A8" s="155" t="s">
        <v>36</v>
      </c>
      <c r="B8" s="164">
        <f>'Portage Bill'!B23</f>
        <v>0</v>
      </c>
      <c r="C8" s="165"/>
      <c r="D8" s="165"/>
      <c r="E8" s="147"/>
      <c r="F8" s="147"/>
      <c r="G8" s="147"/>
      <c r="H8" s="155" t="s">
        <v>37</v>
      </c>
      <c r="I8" s="155"/>
      <c r="J8" s="162"/>
      <c r="K8" s="163">
        <f>'Portage Bill'!J74</f>
        <v>0</v>
      </c>
      <c r="L8" s="14"/>
    </row>
    <row r="9" spans="1:12" ht="15" customHeight="1" x14ac:dyDescent="0.4">
      <c r="A9" s="155" t="s">
        <v>38</v>
      </c>
      <c r="B9" s="166" t="str">
        <f>'Portage Bill'!D23</f>
        <v>Motorman</v>
      </c>
      <c r="C9" s="165"/>
      <c r="D9" s="147"/>
      <c r="E9" s="147"/>
      <c r="F9" s="147"/>
      <c r="G9" s="147"/>
      <c r="H9" s="155" t="s">
        <v>39</v>
      </c>
      <c r="I9" s="155"/>
      <c r="J9" s="155"/>
      <c r="K9" s="147"/>
      <c r="L9" s="14"/>
    </row>
    <row r="10" spans="1:12" ht="15" customHeight="1" x14ac:dyDescent="0.4">
      <c r="A10" s="155" t="s">
        <v>40</v>
      </c>
      <c r="B10" s="167"/>
      <c r="C10" s="168"/>
      <c r="D10" s="147"/>
      <c r="E10" s="147"/>
      <c r="F10" s="147"/>
      <c r="G10" s="155" t="s">
        <v>41</v>
      </c>
      <c r="H10" s="169"/>
      <c r="I10" s="155" t="s">
        <v>42</v>
      </c>
      <c r="J10" s="316"/>
      <c r="K10" s="171"/>
      <c r="L10" s="14"/>
    </row>
    <row r="11" spans="1:12" ht="15" customHeight="1" x14ac:dyDescent="0.4">
      <c r="A11" s="155"/>
      <c r="B11" s="334"/>
      <c r="C11" s="335"/>
      <c r="D11" s="147"/>
      <c r="E11" s="147"/>
      <c r="F11" s="147"/>
      <c r="G11" s="155"/>
      <c r="H11" s="336"/>
      <c r="I11" s="155"/>
      <c r="J11" s="316"/>
      <c r="K11" s="337"/>
      <c r="L11" s="14"/>
    </row>
    <row r="12" spans="1:12" ht="15" customHeight="1" x14ac:dyDescent="0.4">
      <c r="A12" s="344" t="s">
        <v>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14"/>
    </row>
    <row r="13" spans="1:12" ht="15" customHeight="1" x14ac:dyDescent="0.4">
      <c r="A13" s="346" t="s">
        <v>44</v>
      </c>
      <c r="B13" s="338"/>
      <c r="C13" s="175">
        <f>'Portage Bill'!G2</f>
        <v>41365</v>
      </c>
      <c r="D13" s="347" t="s">
        <v>45</v>
      </c>
      <c r="E13" s="175">
        <f>'Portage Bill'!K2</f>
        <v>41394</v>
      </c>
      <c r="F13" s="348" t="s">
        <v>46</v>
      </c>
      <c r="G13" s="177" t="s">
        <v>114</v>
      </c>
      <c r="H13" s="347" t="s">
        <v>47</v>
      </c>
      <c r="I13" s="178">
        <f>'Portage Bill'!F23</f>
        <v>0</v>
      </c>
      <c r="J13" s="347" t="s">
        <v>43</v>
      </c>
      <c r="K13" s="163">
        <f>'Portage Bill'!G23</f>
        <v>0</v>
      </c>
      <c r="L13" s="14"/>
    </row>
    <row r="14" spans="1:12" ht="15" customHeight="1" x14ac:dyDescent="0.4">
      <c r="A14" s="349" t="s">
        <v>140</v>
      </c>
      <c r="B14" s="350"/>
      <c r="C14" s="43"/>
      <c r="D14" s="43"/>
      <c r="E14" s="43"/>
      <c r="F14" s="351"/>
      <c r="G14" s="8"/>
      <c r="H14" s="43"/>
      <c r="I14" s="352"/>
      <c r="J14" s="353"/>
      <c r="K14" s="49">
        <f>'Portage Bill'!I23</f>
        <v>0</v>
      </c>
      <c r="L14" s="14"/>
    </row>
    <row r="15" spans="1:12" ht="15" customHeight="1" x14ac:dyDescent="0.4">
      <c r="A15" s="349" t="s">
        <v>48</v>
      </c>
      <c r="B15" s="83"/>
      <c r="C15" s="43"/>
      <c r="D15" s="43"/>
      <c r="E15" s="43"/>
      <c r="F15" s="43"/>
      <c r="G15" s="43"/>
      <c r="H15" s="43"/>
      <c r="I15" s="43"/>
      <c r="J15" s="8"/>
      <c r="K15" s="49">
        <f>'Portage Bill'!N23</f>
        <v>0</v>
      </c>
      <c r="L15" s="14"/>
    </row>
    <row r="16" spans="1:12" ht="15" customHeight="1" x14ac:dyDescent="0.4">
      <c r="A16" s="349" t="s">
        <v>49</v>
      </c>
      <c r="B16" s="84"/>
      <c r="C16" s="46" t="s">
        <v>18</v>
      </c>
      <c r="D16" s="43"/>
      <c r="E16" s="43"/>
      <c r="F16" s="43"/>
      <c r="G16" s="43"/>
      <c r="H16" s="43"/>
      <c r="I16" s="43"/>
      <c r="J16" s="8"/>
      <c r="K16" s="49">
        <f>'Portage Bill'!O23</f>
        <v>0</v>
      </c>
      <c r="L16" s="14"/>
    </row>
    <row r="17" spans="1:13" ht="15" customHeight="1" x14ac:dyDescent="0.4">
      <c r="A17" s="349" t="s">
        <v>50</v>
      </c>
      <c r="B17" s="81"/>
      <c r="C17" s="274" t="str">
        <f>'Portage Bill'!L5</f>
        <v>Travelling</v>
      </c>
      <c r="D17" s="43"/>
      <c r="E17" s="43"/>
      <c r="F17" s="43"/>
      <c r="G17" s="43"/>
      <c r="H17" s="43"/>
      <c r="I17" s="43"/>
      <c r="J17" s="8"/>
      <c r="K17" s="49">
        <f>'Portage Bill'!L23</f>
        <v>0</v>
      </c>
      <c r="L17" s="14"/>
    </row>
    <row r="18" spans="1:13" ht="15" customHeight="1" x14ac:dyDescent="0.4">
      <c r="A18" s="351" t="s">
        <v>50</v>
      </c>
      <c r="B18" s="43"/>
      <c r="C18" s="81" t="str">
        <f>'Portage Bill'!J6</f>
        <v>FIDELITY</v>
      </c>
      <c r="D18" s="43"/>
      <c r="E18" s="43"/>
      <c r="F18" s="43"/>
      <c r="G18" s="43"/>
      <c r="H18" s="43"/>
      <c r="I18" s="43"/>
      <c r="J18" s="8"/>
      <c r="K18" s="49">
        <f>'Portage Bill'!J23</f>
        <v>0</v>
      </c>
    </row>
    <row r="19" spans="1:13" ht="15" customHeight="1" x14ac:dyDescent="0.4">
      <c r="A19" s="351" t="s">
        <v>50</v>
      </c>
      <c r="B19" s="43"/>
      <c r="C19" s="82" t="str">
        <f>'Portage Bill'!K5</f>
        <v>ALLOWANCE</v>
      </c>
      <c r="D19" s="43"/>
      <c r="E19" s="43"/>
      <c r="F19" s="43"/>
      <c r="G19" s="43"/>
      <c r="H19" s="43"/>
      <c r="I19" s="43"/>
      <c r="J19" s="8"/>
      <c r="K19" s="50">
        <f>'Portage Bill'!K23</f>
        <v>0</v>
      </c>
    </row>
    <row r="20" spans="1:13" ht="15" customHeight="1" x14ac:dyDescent="0.45">
      <c r="A20" s="354" t="s">
        <v>50</v>
      </c>
      <c r="B20" s="44"/>
      <c r="C20" s="280" t="str">
        <f>'Portage Bill'!P6</f>
        <v>Bonus &amp; Extras</v>
      </c>
      <c r="D20" s="69"/>
      <c r="E20" s="67"/>
      <c r="F20" s="44"/>
      <c r="G20" s="44"/>
      <c r="H20" s="44"/>
      <c r="I20" s="44"/>
      <c r="J20" s="44"/>
      <c r="K20" s="355">
        <f>'Portage Bill'!P23</f>
        <v>0</v>
      </c>
    </row>
    <row r="21" spans="1:13" ht="15" customHeight="1" x14ac:dyDescent="0.4">
      <c r="A21" s="42"/>
      <c r="B21" s="42"/>
      <c r="C21" s="42"/>
      <c r="D21" s="42"/>
      <c r="E21" s="42"/>
      <c r="F21" s="42"/>
      <c r="H21" s="51" t="s">
        <v>51</v>
      </c>
      <c r="I21" s="42"/>
      <c r="J21" s="42"/>
      <c r="K21" s="52">
        <f>SUM(K12:K20)</f>
        <v>0</v>
      </c>
    </row>
    <row r="22" spans="1:13" ht="15" customHeight="1" x14ac:dyDescent="0.4">
      <c r="A22" s="42"/>
      <c r="B22" s="42"/>
      <c r="C22" s="42"/>
      <c r="D22" s="42"/>
      <c r="E22" s="42"/>
      <c r="F22" s="42"/>
      <c r="H22" s="51"/>
      <c r="I22" s="42"/>
      <c r="J22" s="42"/>
      <c r="K22" s="52"/>
    </row>
    <row r="23" spans="1:13" ht="15" customHeight="1" x14ac:dyDescent="0.4">
      <c r="A23" s="339" t="s">
        <v>135</v>
      </c>
      <c r="B23" s="340"/>
      <c r="C23" s="340"/>
      <c r="D23" s="340"/>
      <c r="E23" s="340"/>
      <c r="F23" s="340"/>
      <c r="G23" s="341"/>
      <c r="H23" s="342"/>
      <c r="I23" s="340"/>
      <c r="J23" s="340"/>
      <c r="K23" s="356">
        <f>'Portage Bill'!AB23</f>
        <v>0</v>
      </c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339" t="s">
        <v>138</v>
      </c>
      <c r="B25" s="340"/>
      <c r="C25" s="340"/>
      <c r="D25" s="340"/>
      <c r="E25" s="340"/>
      <c r="F25" s="340"/>
      <c r="G25" s="341"/>
      <c r="H25" s="342"/>
      <c r="I25" s="340"/>
      <c r="J25" s="340"/>
      <c r="K25" s="356">
        <f>'Portage Bill'!AC23</f>
        <v>0</v>
      </c>
    </row>
    <row r="26" spans="1:13" ht="15" customHeight="1" x14ac:dyDescent="0.4">
      <c r="A26" s="363"/>
      <c r="B26" s="8"/>
      <c r="C26" s="8"/>
      <c r="D26" s="8"/>
      <c r="E26" s="8"/>
      <c r="F26" s="8"/>
      <c r="G26" s="1"/>
      <c r="H26" s="364"/>
      <c r="I26" s="8"/>
      <c r="J26" s="8"/>
      <c r="K26" s="365"/>
    </row>
    <row r="27" spans="1:13" ht="15" customHeight="1" x14ac:dyDescent="0.4">
      <c r="A27" s="339"/>
      <c r="B27" s="340"/>
      <c r="C27" s="340"/>
      <c r="D27" s="340"/>
      <c r="E27" s="340"/>
      <c r="F27" s="340"/>
      <c r="G27" s="342" t="s">
        <v>139</v>
      </c>
      <c r="H27" s="342"/>
      <c r="I27" s="340"/>
      <c r="J27" s="340"/>
      <c r="K27" s="356">
        <f>SUM(K21:K26)</f>
        <v>0</v>
      </c>
      <c r="M27" s="42"/>
    </row>
    <row r="28" spans="1:13" ht="15" customHeight="1" x14ac:dyDescent="0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357" t="s">
        <v>52</v>
      </c>
      <c r="B29" s="358"/>
      <c r="C29" s="358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88" t="str">
        <f>'Portage Bill'!X7</f>
        <v>Telecon</v>
      </c>
      <c r="B30" s="8"/>
      <c r="C30" s="62">
        <f>'Portage Bill'!X23</f>
        <v>0</v>
      </c>
      <c r="D30" s="42"/>
      <c r="E30" s="42"/>
      <c r="F30" s="42"/>
      <c r="G30" s="42"/>
      <c r="H30" s="42"/>
      <c r="I30" s="42"/>
      <c r="J30" s="42"/>
      <c r="K30" s="62"/>
      <c r="M30" s="42"/>
    </row>
    <row r="31" spans="1:13" ht="15" customHeight="1" x14ac:dyDescent="0.4">
      <c r="A31" s="351" t="s">
        <v>53</v>
      </c>
      <c r="B31" s="8"/>
      <c r="C31" s="62">
        <f>'Portage Bill'!W23</f>
        <v>0</v>
      </c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351" t="s">
        <v>54</v>
      </c>
      <c r="B32" s="8"/>
      <c r="C32" s="62">
        <f>'Portage Bill'!U23</f>
        <v>0</v>
      </c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351" t="s">
        <v>54</v>
      </c>
      <c r="B33" s="8"/>
      <c r="C33" s="62">
        <f>'Portage Bill'!V23</f>
        <v>0</v>
      </c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351" t="s">
        <v>98</v>
      </c>
      <c r="B34" s="8"/>
      <c r="C34" s="62">
        <f>'Portage Bill'!T23</f>
        <v>0</v>
      </c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351" t="s">
        <v>92</v>
      </c>
      <c r="B35" s="8"/>
      <c r="C35" s="62">
        <f>'Portage Bill'!Y23</f>
        <v>0</v>
      </c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351" t="str">
        <f>'Portage Bill'!R7</f>
        <v>***Leave pay</v>
      </c>
      <c r="B36" s="8"/>
      <c r="C36" s="343">
        <f>'Portage Bill'!R23</f>
        <v>0</v>
      </c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351" t="s">
        <v>55</v>
      </c>
      <c r="B37" s="8"/>
      <c r="C37" s="43"/>
      <c r="D37" s="42"/>
      <c r="E37" s="42"/>
      <c r="F37" s="42"/>
      <c r="G37" s="42"/>
      <c r="H37" s="42"/>
      <c r="I37" s="42"/>
      <c r="J37" s="42"/>
      <c r="K37" s="42"/>
      <c r="L37" s="14"/>
    </row>
    <row r="38" spans="1:13" ht="15" customHeight="1" x14ac:dyDescent="0.4">
      <c r="A38" s="359" t="str">
        <f>'deduct list'!W9</f>
        <v>Accumulated Leave pay</v>
      </c>
      <c r="B38" s="44"/>
      <c r="C38" s="44"/>
      <c r="D38" s="42"/>
      <c r="E38" s="294">
        <f>'deduct list'!W25</f>
        <v>0</v>
      </c>
      <c r="F38" s="42"/>
      <c r="G38" s="42"/>
      <c r="H38" s="45"/>
      <c r="I38" s="42"/>
      <c r="J38" s="42"/>
      <c r="K38" s="50"/>
      <c r="L38" s="14"/>
    </row>
    <row r="39" spans="1:13" ht="15" customHeight="1" x14ac:dyDescent="0.4">
      <c r="A39" s="369" t="s">
        <v>56</v>
      </c>
      <c r="B39" s="18"/>
      <c r="C39" s="371">
        <f>SUM(C30:C38)</f>
        <v>0</v>
      </c>
      <c r="D39" s="147"/>
      <c r="E39" s="147"/>
      <c r="F39" s="147"/>
      <c r="G39" s="179"/>
      <c r="H39" s="179"/>
      <c r="I39" s="179"/>
      <c r="J39" s="179"/>
      <c r="K39" s="360"/>
      <c r="L39" s="14"/>
    </row>
    <row r="40" spans="1:13" ht="15" customHeight="1" x14ac:dyDescent="0.45">
      <c r="A40" s="48"/>
      <c r="B40" s="42"/>
      <c r="C40" s="62"/>
      <c r="D40" s="147"/>
      <c r="E40" s="147"/>
      <c r="F40" s="147"/>
      <c r="G40" s="147"/>
      <c r="H40" s="367" t="s">
        <v>136</v>
      </c>
      <c r="I40" s="75"/>
      <c r="J40" s="75"/>
      <c r="K40" s="370">
        <f>'Portage Bill'!S23</f>
        <v>0</v>
      </c>
      <c r="L40" s="14"/>
    </row>
    <row r="41" spans="1:13" ht="15" customHeight="1" x14ac:dyDescent="0.45">
      <c r="A41" s="48"/>
      <c r="B41" s="42"/>
      <c r="C41" s="368"/>
      <c r="D41" s="147"/>
      <c r="E41" s="147"/>
      <c r="F41" s="147"/>
      <c r="G41" s="147"/>
      <c r="H41" s="367"/>
      <c r="I41" s="75"/>
      <c r="J41" s="75"/>
      <c r="K41" s="361"/>
      <c r="L41" s="14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366" t="s">
        <v>137</v>
      </c>
      <c r="I42" s="362"/>
      <c r="J42" s="75"/>
      <c r="K42" s="366">
        <f>'Portage Bill'!AD23</f>
        <v>0</v>
      </c>
      <c r="L42" s="14"/>
    </row>
    <row r="43" spans="1:13" ht="22.5" customHeight="1" x14ac:dyDescent="0.4">
      <c r="A43" s="155" t="s">
        <v>57</v>
      </c>
      <c r="B43" s="147"/>
      <c r="C43" s="165"/>
      <c r="D43" s="165"/>
      <c r="E43" s="208"/>
      <c r="F43" s="179" t="s">
        <v>58</v>
      </c>
      <c r="G43" s="154"/>
      <c r="H43" s="208"/>
      <c r="I43" s="165"/>
      <c r="J43" s="165"/>
      <c r="K43" s="165"/>
      <c r="L43" s="14"/>
    </row>
    <row r="44" spans="1:13" ht="15" customHeight="1" x14ac:dyDescent="0.4">
      <c r="A44" s="155" t="s">
        <v>59</v>
      </c>
      <c r="B44" s="14"/>
      <c r="C44" s="209"/>
      <c r="D44" s="209"/>
      <c r="E44" s="209"/>
      <c r="F44" s="209"/>
      <c r="G44" s="209"/>
      <c r="H44" s="209"/>
      <c r="I44" s="209"/>
      <c r="J44" s="209"/>
      <c r="K44" s="209"/>
      <c r="L44" s="14"/>
    </row>
    <row r="45" spans="1:13" ht="15" customHeight="1" x14ac:dyDescent="0.4">
      <c r="A45" s="155" t="s">
        <v>60</v>
      </c>
      <c r="B45" s="14"/>
      <c r="C45" s="14"/>
      <c r="D45" s="14"/>
      <c r="E45" s="210"/>
      <c r="F45" s="209"/>
      <c r="G45" s="209"/>
      <c r="H45" s="209"/>
      <c r="I45" s="209"/>
      <c r="J45" s="209"/>
      <c r="K45" s="209"/>
      <c r="L45" s="14"/>
    </row>
    <row r="46" spans="1:13" ht="15" customHeight="1" x14ac:dyDescent="0.4">
      <c r="A46" s="155" t="s">
        <v>61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3" ht="21" customHeight="1" x14ac:dyDescent="0.4">
      <c r="A47" s="211" t="s">
        <v>106</v>
      </c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 t="s">
        <v>62</v>
      </c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1" ht="15" customHeight="1" x14ac:dyDescent="0.4">
      <c r="A49" s="147"/>
      <c r="B49" s="14"/>
      <c r="C49" s="14"/>
      <c r="D49" s="14"/>
      <c r="E49" s="179" t="s">
        <v>30</v>
      </c>
      <c r="F49" s="214"/>
      <c r="G49" s="233">
        <f>'Portage Bill'!K2</f>
        <v>41394</v>
      </c>
      <c r="H49" s="14"/>
      <c r="I49" s="14"/>
      <c r="J49" s="14"/>
      <c r="K49" s="14"/>
    </row>
    <row r="50" spans="1:11" ht="24" customHeight="1" x14ac:dyDescent="0.4">
      <c r="A50" s="43"/>
      <c r="B50" s="53"/>
      <c r="C50" s="53"/>
      <c r="D50" s="53"/>
      <c r="G50" s="1"/>
      <c r="H50" s="53"/>
      <c r="I50" s="53"/>
      <c r="J50" s="53"/>
      <c r="K50" s="53"/>
    </row>
    <row r="51" spans="1:11" ht="15" customHeight="1" x14ac:dyDescent="0.35">
      <c r="A51" s="58" t="s">
        <v>63</v>
      </c>
      <c r="B51" s="56"/>
      <c r="C51" s="56"/>
      <c r="D51" s="56"/>
      <c r="H51" s="59" t="s">
        <v>64</v>
      </c>
      <c r="I51" s="57"/>
      <c r="J51" s="57"/>
      <c r="K51" s="57"/>
    </row>
    <row r="52" spans="1:11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1" ht="17.100000000000001" customHeight="1" x14ac:dyDescent="0.35">
      <c r="J53" s="55" t="s">
        <v>65</v>
      </c>
    </row>
    <row r="54" spans="1:11" ht="17.100000000000001" customHeight="1" x14ac:dyDescent="0.35"/>
  </sheetData>
  <sheetProtection formatCells="0" formatColumns="0" formatRows="0" insertColumns="0" insertRows="0" insertHyperlinks="0"/>
  <phoneticPr fontId="14" type="noConversion"/>
  <pageMargins left="1.19" right="0.35433070866141703" top="0.39370078740157499" bottom="0.39370078740157499" header="0.511811023622047" footer="0.511811023622047"/>
  <pageSetup paperSize="9" scale="95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M54"/>
  <sheetViews>
    <sheetView view="pageLayout" zoomScaleNormal="112" workbookViewId="0">
      <selection activeCell="D8" sqref="C8:D8"/>
    </sheetView>
  </sheetViews>
  <sheetFormatPr defaultRowHeight="12.75" x14ac:dyDescent="0.35"/>
  <cols>
    <col min="1" max="1" width="11.6640625" customWidth="1"/>
    <col min="2" max="2" width="9.53125" customWidth="1"/>
    <col min="3" max="3" width="12.1328125" customWidth="1"/>
    <col min="4" max="4" width="4.1328125" customWidth="1"/>
    <col min="5" max="5" width="11.33203125" customWidth="1"/>
    <col min="6" max="6" width="3.33203125" customWidth="1"/>
    <col min="7" max="7" width="8.86328125" customWidth="1"/>
    <col min="8" max="8" width="7.46484375" customWidth="1"/>
    <col min="10" max="10" width="6.46484375" customWidth="1"/>
    <col min="11" max="11" width="10.1328125" customWidth="1"/>
  </cols>
  <sheetData>
    <row r="1" spans="1:12" ht="13.15" x14ac:dyDescent="0.4">
      <c r="A1" s="147"/>
      <c r="B1" s="147"/>
      <c r="C1" s="147"/>
      <c r="D1" s="147"/>
      <c r="E1" s="147"/>
      <c r="F1" s="147"/>
      <c r="G1" s="147"/>
      <c r="H1" s="147"/>
      <c r="I1" s="148" t="s">
        <v>80</v>
      </c>
      <c r="J1" s="149" t="s">
        <v>82</v>
      </c>
      <c r="K1" s="150" t="s">
        <v>89</v>
      </c>
      <c r="L1" s="14"/>
    </row>
    <row r="2" spans="1:12" ht="13.15" x14ac:dyDescent="0.4">
      <c r="A2" s="147"/>
      <c r="B2" s="147"/>
      <c r="C2" s="147"/>
      <c r="D2" s="147"/>
      <c r="E2" s="147"/>
      <c r="F2" s="147"/>
      <c r="G2" s="147"/>
      <c r="H2" s="147"/>
      <c r="I2" s="148" t="s">
        <v>81</v>
      </c>
      <c r="J2" s="149" t="s">
        <v>82</v>
      </c>
      <c r="K2" s="151" t="s">
        <v>83</v>
      </c>
      <c r="L2" s="14"/>
    </row>
    <row r="3" spans="1:12" ht="19.899999999999999" x14ac:dyDescent="0.5">
      <c r="A3" s="147"/>
      <c r="B3" s="147"/>
      <c r="C3" s="147"/>
      <c r="D3" s="319" t="s">
        <v>32</v>
      </c>
      <c r="E3" s="147"/>
      <c r="F3" s="147"/>
      <c r="G3" s="147"/>
      <c r="H3" s="147"/>
      <c r="I3" s="153"/>
      <c r="J3" s="154"/>
      <c r="K3" s="154"/>
      <c r="L3" s="14"/>
    </row>
    <row r="4" spans="1:12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"/>
    </row>
    <row r="5" spans="1:12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"/>
    </row>
    <row r="6" spans="1:12" ht="15" x14ac:dyDescent="0.4">
      <c r="A6" s="155" t="str">
        <f>'Portage Bill'!B3</f>
        <v xml:space="preserve">Vessel:     </v>
      </c>
      <c r="B6" s="156">
        <f>'Portage Bill'!C3</f>
        <v>0</v>
      </c>
      <c r="C6" s="157"/>
      <c r="D6" s="158"/>
      <c r="E6" s="159"/>
      <c r="F6" s="147"/>
      <c r="G6" s="147"/>
      <c r="H6" s="155" t="s">
        <v>33</v>
      </c>
      <c r="I6" s="155"/>
      <c r="J6" s="160" t="s">
        <v>34</v>
      </c>
      <c r="K6" s="161"/>
      <c r="L6" s="14"/>
    </row>
    <row r="7" spans="1:12" ht="15" customHeight="1" x14ac:dyDescent="0.4">
      <c r="A7" s="147"/>
      <c r="B7" s="147"/>
      <c r="C7" s="147"/>
      <c r="D7" s="147"/>
      <c r="E7" s="147"/>
      <c r="F7" s="147"/>
      <c r="G7" s="147"/>
      <c r="H7" s="155" t="s">
        <v>35</v>
      </c>
      <c r="I7" s="155"/>
      <c r="J7" s="162"/>
      <c r="K7" s="163">
        <f>'Portage Bill'!F75</f>
        <v>0</v>
      </c>
      <c r="L7" s="14"/>
    </row>
    <row r="8" spans="1:12" ht="15" customHeight="1" x14ac:dyDescent="0.4">
      <c r="A8" s="155" t="s">
        <v>36</v>
      </c>
      <c r="B8" s="164">
        <f>'Portage Bill'!B24</f>
        <v>0</v>
      </c>
      <c r="C8" s="165"/>
      <c r="D8" s="165"/>
      <c r="E8" s="147"/>
      <c r="F8" s="147"/>
      <c r="G8" s="147"/>
      <c r="H8" s="155" t="s">
        <v>37</v>
      </c>
      <c r="I8" s="155"/>
      <c r="J8" s="162"/>
      <c r="K8" s="163">
        <f>'Portage Bill'!J75</f>
        <v>0</v>
      </c>
      <c r="L8" s="14"/>
    </row>
    <row r="9" spans="1:12" ht="15" customHeight="1" x14ac:dyDescent="0.4">
      <c r="A9" s="155" t="s">
        <v>38</v>
      </c>
      <c r="B9" s="166" t="str">
        <f>'Portage Bill'!D24</f>
        <v>Motorman</v>
      </c>
      <c r="C9" s="165"/>
      <c r="D9" s="147"/>
      <c r="E9" s="147"/>
      <c r="F9" s="147"/>
      <c r="G9" s="147"/>
      <c r="H9" s="155" t="s">
        <v>39</v>
      </c>
      <c r="I9" s="155"/>
      <c r="J9" s="155"/>
      <c r="K9" s="147"/>
      <c r="L9" s="14"/>
    </row>
    <row r="10" spans="1:12" ht="15" customHeight="1" x14ac:dyDescent="0.4">
      <c r="A10" s="155" t="s">
        <v>40</v>
      </c>
      <c r="B10" s="167"/>
      <c r="C10" s="168"/>
      <c r="D10" s="147"/>
      <c r="E10" s="147"/>
      <c r="F10" s="147"/>
      <c r="G10" s="155" t="s">
        <v>41</v>
      </c>
      <c r="H10" s="169"/>
      <c r="I10" s="155" t="s">
        <v>42</v>
      </c>
      <c r="J10" s="316"/>
      <c r="K10" s="171"/>
      <c r="L10" s="14"/>
    </row>
    <row r="11" spans="1:12" ht="15" customHeight="1" x14ac:dyDescent="0.4">
      <c r="A11" s="155"/>
      <c r="B11" s="334"/>
      <c r="C11" s="335"/>
      <c r="D11" s="147"/>
      <c r="E11" s="147"/>
      <c r="F11" s="147"/>
      <c r="G11" s="155"/>
      <c r="H11" s="336"/>
      <c r="I11" s="155"/>
      <c r="J11" s="316"/>
      <c r="K11" s="337"/>
      <c r="L11" s="14"/>
    </row>
    <row r="12" spans="1:12" ht="15" customHeight="1" x14ac:dyDescent="0.4">
      <c r="A12" s="344" t="s">
        <v>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14"/>
    </row>
    <row r="13" spans="1:12" ht="15" customHeight="1" x14ac:dyDescent="0.4">
      <c r="A13" s="346" t="s">
        <v>44</v>
      </c>
      <c r="B13" s="338"/>
      <c r="C13" s="175">
        <f>'Portage Bill'!G2</f>
        <v>41365</v>
      </c>
      <c r="D13" s="347" t="s">
        <v>45</v>
      </c>
      <c r="E13" s="175">
        <f>'Portage Bill'!K2</f>
        <v>41394</v>
      </c>
      <c r="F13" s="348" t="s">
        <v>46</v>
      </c>
      <c r="G13" s="177" t="s">
        <v>114</v>
      </c>
      <c r="H13" s="347" t="s">
        <v>47</v>
      </c>
      <c r="I13" s="178">
        <f>'Portage Bill'!F24</f>
        <v>0</v>
      </c>
      <c r="J13" s="347" t="s">
        <v>43</v>
      </c>
      <c r="K13" s="163">
        <f>'Portage Bill'!G24</f>
        <v>0</v>
      </c>
      <c r="L13" s="14"/>
    </row>
    <row r="14" spans="1:12" ht="15" customHeight="1" x14ac:dyDescent="0.4">
      <c r="A14" s="349" t="s">
        <v>140</v>
      </c>
      <c r="B14" s="350"/>
      <c r="C14" s="43"/>
      <c r="D14" s="43"/>
      <c r="E14" s="43"/>
      <c r="F14" s="351"/>
      <c r="G14" s="8"/>
      <c r="H14" s="43"/>
      <c r="I14" s="352"/>
      <c r="J14" s="353"/>
      <c r="K14" s="49">
        <f>'Portage Bill'!I24</f>
        <v>0</v>
      </c>
      <c r="L14" s="14"/>
    </row>
    <row r="15" spans="1:12" ht="15" customHeight="1" x14ac:dyDescent="0.4">
      <c r="A15" s="349" t="s">
        <v>48</v>
      </c>
      <c r="B15" s="83"/>
      <c r="C15" s="43"/>
      <c r="D15" s="43"/>
      <c r="E15" s="43"/>
      <c r="F15" s="43"/>
      <c r="G15" s="43"/>
      <c r="H15" s="43"/>
      <c r="I15" s="43"/>
      <c r="J15" s="8"/>
      <c r="K15" s="49">
        <f>'Portage Bill'!N24</f>
        <v>0</v>
      </c>
      <c r="L15" s="14"/>
    </row>
    <row r="16" spans="1:12" ht="15" customHeight="1" x14ac:dyDescent="0.4">
      <c r="A16" s="349" t="s">
        <v>49</v>
      </c>
      <c r="B16" s="84"/>
      <c r="C16" s="46" t="s">
        <v>18</v>
      </c>
      <c r="D16" s="43"/>
      <c r="E16" s="43"/>
      <c r="F16" s="43"/>
      <c r="G16" s="43"/>
      <c r="H16" s="43"/>
      <c r="I16" s="43"/>
      <c r="J16" s="8"/>
      <c r="K16" s="49">
        <f>'Portage Bill'!O24</f>
        <v>0</v>
      </c>
      <c r="L16" s="14"/>
    </row>
    <row r="17" spans="1:13" ht="15" customHeight="1" x14ac:dyDescent="0.4">
      <c r="A17" s="349" t="s">
        <v>50</v>
      </c>
      <c r="B17" s="81"/>
      <c r="C17" s="274" t="str">
        <f>'Portage Bill'!L5</f>
        <v>Travelling</v>
      </c>
      <c r="D17" s="43"/>
      <c r="E17" s="43"/>
      <c r="F17" s="43"/>
      <c r="G17" s="43"/>
      <c r="H17" s="43"/>
      <c r="I17" s="43"/>
      <c r="J17" s="8"/>
      <c r="K17" s="49">
        <f>'Portage Bill'!L24</f>
        <v>0</v>
      </c>
      <c r="L17" s="14"/>
    </row>
    <row r="18" spans="1:13" ht="15" customHeight="1" x14ac:dyDescent="0.4">
      <c r="A18" s="351" t="s">
        <v>50</v>
      </c>
      <c r="B18" s="43"/>
      <c r="C18" s="81" t="str">
        <f>'Portage Bill'!J6</f>
        <v>FIDELITY</v>
      </c>
      <c r="D18" s="43"/>
      <c r="E18" s="43"/>
      <c r="F18" s="43"/>
      <c r="G18" s="43"/>
      <c r="H18" s="43"/>
      <c r="I18" s="43"/>
      <c r="J18" s="8"/>
      <c r="K18" s="49">
        <f>'Portage Bill'!J24</f>
        <v>0</v>
      </c>
    </row>
    <row r="19" spans="1:13" ht="15" customHeight="1" x14ac:dyDescent="0.4">
      <c r="A19" s="351" t="s">
        <v>50</v>
      </c>
      <c r="B19" s="43"/>
      <c r="C19" s="82" t="str">
        <f>'Portage Bill'!K5</f>
        <v>ALLOWANCE</v>
      </c>
      <c r="D19" s="43"/>
      <c r="E19" s="43"/>
      <c r="F19" s="43"/>
      <c r="G19" s="43"/>
      <c r="H19" s="43"/>
      <c r="I19" s="43"/>
      <c r="J19" s="8"/>
      <c r="K19" s="50">
        <f>'Portage Bill'!K24</f>
        <v>0</v>
      </c>
    </row>
    <row r="20" spans="1:13" ht="15" customHeight="1" x14ac:dyDescent="0.45">
      <c r="A20" s="354" t="s">
        <v>50</v>
      </c>
      <c r="B20" s="44"/>
      <c r="C20" s="280" t="str">
        <f>'Portage Bill'!P6</f>
        <v>Bonus &amp; Extras</v>
      </c>
      <c r="D20" s="69"/>
      <c r="E20" s="67"/>
      <c r="F20" s="44"/>
      <c r="G20" s="44"/>
      <c r="H20" s="44"/>
      <c r="I20" s="44"/>
      <c r="J20" s="44"/>
      <c r="K20" s="355">
        <f>'Portage Bill'!P24</f>
        <v>0</v>
      </c>
    </row>
    <row r="21" spans="1:13" ht="15" customHeight="1" x14ac:dyDescent="0.4">
      <c r="A21" s="42"/>
      <c r="B21" s="42"/>
      <c r="C21" s="42"/>
      <c r="D21" s="42"/>
      <c r="E21" s="42"/>
      <c r="F21" s="42"/>
      <c r="H21" s="51" t="s">
        <v>51</v>
      </c>
      <c r="I21" s="42"/>
      <c r="J21" s="42"/>
      <c r="K21" s="52">
        <f>SUM(K12:K20)</f>
        <v>0</v>
      </c>
    </row>
    <row r="22" spans="1:13" ht="15" customHeight="1" x14ac:dyDescent="0.4">
      <c r="A22" s="42"/>
      <c r="B22" s="42"/>
      <c r="C22" s="42"/>
      <c r="D22" s="42"/>
      <c r="E22" s="42"/>
      <c r="F22" s="42"/>
      <c r="H22" s="51"/>
      <c r="I22" s="42"/>
      <c r="J22" s="42"/>
      <c r="K22" s="52"/>
    </row>
    <row r="23" spans="1:13" ht="15" customHeight="1" x14ac:dyDescent="0.4">
      <c r="A23" s="339" t="s">
        <v>135</v>
      </c>
      <c r="B23" s="340"/>
      <c r="C23" s="340"/>
      <c r="D23" s="340"/>
      <c r="E23" s="340"/>
      <c r="F23" s="340"/>
      <c r="G23" s="341"/>
      <c r="H23" s="342"/>
      <c r="I23" s="340"/>
      <c r="J23" s="340"/>
      <c r="K23" s="356">
        <f>'Portage Bill'!AB24</f>
        <v>0</v>
      </c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339" t="s">
        <v>138</v>
      </c>
      <c r="B25" s="340"/>
      <c r="C25" s="340"/>
      <c r="D25" s="340"/>
      <c r="E25" s="340"/>
      <c r="F25" s="340"/>
      <c r="G25" s="341"/>
      <c r="H25" s="342"/>
      <c r="I25" s="340"/>
      <c r="J25" s="340"/>
      <c r="K25" s="356">
        <f>'Portage Bill'!AC24</f>
        <v>0</v>
      </c>
    </row>
    <row r="26" spans="1:13" ht="15" customHeight="1" x14ac:dyDescent="0.4">
      <c r="A26" s="363"/>
      <c r="B26" s="8"/>
      <c r="C26" s="8"/>
      <c r="D26" s="8"/>
      <c r="E26" s="8"/>
      <c r="F26" s="8"/>
      <c r="G26" s="1"/>
      <c r="H26" s="364"/>
      <c r="I26" s="8"/>
      <c r="J26" s="8"/>
      <c r="K26" s="365"/>
    </row>
    <row r="27" spans="1:13" ht="15" customHeight="1" x14ac:dyDescent="0.4">
      <c r="A27" s="339"/>
      <c r="B27" s="340"/>
      <c r="C27" s="340"/>
      <c r="D27" s="340"/>
      <c r="E27" s="340"/>
      <c r="F27" s="340"/>
      <c r="G27" s="342" t="s">
        <v>139</v>
      </c>
      <c r="H27" s="342"/>
      <c r="I27" s="340"/>
      <c r="J27" s="340"/>
      <c r="K27" s="356">
        <f>SUM(K21:K26)</f>
        <v>0</v>
      </c>
      <c r="M27" s="42"/>
    </row>
    <row r="28" spans="1:13" ht="15" customHeight="1" x14ac:dyDescent="0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357" t="s">
        <v>52</v>
      </c>
      <c r="B29" s="358"/>
      <c r="C29" s="358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88" t="str">
        <f>'Portage Bill'!X7</f>
        <v>Telecon</v>
      </c>
      <c r="B30" s="8"/>
      <c r="C30" s="62">
        <f>'Portage Bill'!X24</f>
        <v>0</v>
      </c>
      <c r="D30" s="42"/>
      <c r="E30" s="42"/>
      <c r="F30" s="42"/>
      <c r="G30" s="42"/>
      <c r="H30" s="42"/>
      <c r="I30" s="42"/>
      <c r="J30" s="42"/>
      <c r="K30" s="62"/>
      <c r="M30" s="42"/>
    </row>
    <row r="31" spans="1:13" ht="15" customHeight="1" x14ac:dyDescent="0.4">
      <c r="A31" s="351" t="s">
        <v>53</v>
      </c>
      <c r="B31" s="8"/>
      <c r="C31" s="62">
        <f>'Portage Bill'!W24</f>
        <v>0</v>
      </c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351" t="s">
        <v>54</v>
      </c>
      <c r="B32" s="8"/>
      <c r="C32" s="62">
        <f>'Portage Bill'!U24</f>
        <v>0</v>
      </c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351" t="s">
        <v>54</v>
      </c>
      <c r="B33" s="8"/>
      <c r="C33" s="62">
        <f>'Portage Bill'!V24</f>
        <v>0</v>
      </c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351" t="s">
        <v>98</v>
      </c>
      <c r="B34" s="8"/>
      <c r="C34" s="62">
        <f>'Portage Bill'!T24</f>
        <v>0</v>
      </c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351" t="s">
        <v>92</v>
      </c>
      <c r="B35" s="8"/>
      <c r="C35" s="62">
        <f>'Portage Bill'!Y24</f>
        <v>0</v>
      </c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351" t="str">
        <f>'Portage Bill'!R7</f>
        <v>***Leave pay</v>
      </c>
      <c r="B36" s="8"/>
      <c r="C36" s="343">
        <f>'Portage Bill'!R24</f>
        <v>0</v>
      </c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351" t="s">
        <v>55</v>
      </c>
      <c r="B37" s="8"/>
      <c r="C37" s="43"/>
      <c r="D37" s="42"/>
      <c r="E37" s="42"/>
      <c r="F37" s="42"/>
      <c r="G37" s="42"/>
      <c r="H37" s="42"/>
      <c r="I37" s="42"/>
      <c r="J37" s="42"/>
      <c r="K37" s="42"/>
    </row>
    <row r="38" spans="1:13" ht="14.25" customHeight="1" x14ac:dyDescent="0.4">
      <c r="A38" s="359" t="str">
        <f>'deduct list'!W9</f>
        <v>Accumulated Leave pay</v>
      </c>
      <c r="B38" s="44"/>
      <c r="C38" s="44"/>
      <c r="D38" s="42"/>
      <c r="E38" s="294">
        <f>'deduct list'!W26</f>
        <v>0</v>
      </c>
      <c r="F38" s="42"/>
      <c r="G38" s="42"/>
      <c r="H38" s="45"/>
      <c r="I38" s="42"/>
      <c r="J38" s="42"/>
      <c r="K38" s="50"/>
    </row>
    <row r="39" spans="1:13" ht="15" customHeight="1" x14ac:dyDescent="0.4">
      <c r="A39" s="369" t="s">
        <v>56</v>
      </c>
      <c r="B39" s="18"/>
      <c r="C39" s="371">
        <f>SUM(C30:C38)</f>
        <v>0</v>
      </c>
      <c r="D39" s="147"/>
      <c r="E39" s="147"/>
      <c r="F39" s="147"/>
      <c r="G39" s="179"/>
      <c r="H39" s="179"/>
      <c r="I39" s="179"/>
      <c r="J39" s="179"/>
      <c r="K39" s="360"/>
    </row>
    <row r="40" spans="1:13" ht="15" customHeight="1" x14ac:dyDescent="0.45">
      <c r="A40" s="48"/>
      <c r="B40" s="42"/>
      <c r="C40" s="62"/>
      <c r="D40" s="147"/>
      <c r="E40" s="147"/>
      <c r="F40" s="147"/>
      <c r="G40" s="147"/>
      <c r="H40" s="367" t="s">
        <v>136</v>
      </c>
      <c r="I40" s="75"/>
      <c r="J40" s="75"/>
      <c r="K40" s="370">
        <f>'Portage Bill'!S24</f>
        <v>0</v>
      </c>
    </row>
    <row r="41" spans="1:13" ht="15" customHeight="1" x14ac:dyDescent="0.45">
      <c r="A41" s="48"/>
      <c r="B41" s="42"/>
      <c r="C41" s="368"/>
      <c r="D41" s="147"/>
      <c r="E41" s="147"/>
      <c r="F41" s="147"/>
      <c r="G41" s="147"/>
      <c r="H41" s="367"/>
      <c r="I41" s="75"/>
      <c r="J41" s="75"/>
      <c r="K41" s="361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366" t="s">
        <v>137</v>
      </c>
      <c r="I42" s="362"/>
      <c r="J42" s="75"/>
      <c r="K42" s="366">
        <f>'Portage Bill'!AD24</f>
        <v>0</v>
      </c>
    </row>
    <row r="43" spans="1:13" ht="22.5" customHeight="1" x14ac:dyDescent="0.4">
      <c r="A43" s="155" t="s">
        <v>57</v>
      </c>
      <c r="B43" s="147"/>
      <c r="C43" s="165"/>
      <c r="D43" s="165"/>
      <c r="E43" s="208"/>
      <c r="F43" s="179" t="s">
        <v>58</v>
      </c>
      <c r="G43" s="154"/>
      <c r="H43" s="208"/>
      <c r="I43" s="165"/>
      <c r="J43" s="165"/>
      <c r="K43" s="165"/>
    </row>
    <row r="44" spans="1:13" ht="15" customHeight="1" x14ac:dyDescent="0.4">
      <c r="A44" s="155" t="s">
        <v>59</v>
      </c>
      <c r="B44" s="14"/>
      <c r="C44" s="209"/>
      <c r="D44" s="209"/>
      <c r="E44" s="209"/>
      <c r="F44" s="209"/>
      <c r="G44" s="209"/>
      <c r="H44" s="209"/>
      <c r="I44" s="209"/>
      <c r="J44" s="209"/>
      <c r="K44" s="209"/>
    </row>
    <row r="45" spans="1:13" ht="15" customHeight="1" x14ac:dyDescent="0.4">
      <c r="A45" s="155" t="s">
        <v>60</v>
      </c>
      <c r="B45" s="14"/>
      <c r="C45" s="14"/>
      <c r="D45" s="14"/>
      <c r="E45" s="210"/>
      <c r="F45" s="209"/>
      <c r="G45" s="209"/>
      <c r="H45" s="209"/>
      <c r="I45" s="209"/>
      <c r="J45" s="209"/>
      <c r="K45" s="209"/>
    </row>
    <row r="46" spans="1:13" ht="15" customHeight="1" x14ac:dyDescent="0.4">
      <c r="A46" s="155" t="s">
        <v>61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3" ht="21" customHeight="1" x14ac:dyDescent="0.4">
      <c r="A47" s="211" t="s">
        <v>106</v>
      </c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 t="s">
        <v>62</v>
      </c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1" ht="15" customHeight="1" x14ac:dyDescent="0.4">
      <c r="A49" s="147"/>
      <c r="B49" s="14"/>
      <c r="C49" s="14"/>
      <c r="D49" s="14"/>
      <c r="E49" s="179" t="s">
        <v>30</v>
      </c>
      <c r="F49" s="214"/>
      <c r="G49" s="233">
        <f>'Portage Bill'!K2</f>
        <v>41394</v>
      </c>
      <c r="H49" s="14"/>
      <c r="I49" s="14"/>
      <c r="J49" s="14"/>
      <c r="K49" s="14"/>
    </row>
    <row r="50" spans="1:11" ht="24" customHeight="1" x14ac:dyDescent="0.4">
      <c r="A50" s="43"/>
      <c r="B50" s="53"/>
      <c r="C50" s="53"/>
      <c r="D50" s="53"/>
      <c r="G50" s="1"/>
      <c r="H50" s="53"/>
      <c r="I50" s="53"/>
      <c r="J50" s="53"/>
      <c r="K50" s="53"/>
    </row>
    <row r="51" spans="1:11" ht="15" customHeight="1" x14ac:dyDescent="0.35">
      <c r="A51" s="58" t="s">
        <v>63</v>
      </c>
      <c r="B51" s="56"/>
      <c r="C51" s="56"/>
      <c r="D51" s="56"/>
      <c r="H51" s="59" t="s">
        <v>64</v>
      </c>
      <c r="I51" s="57"/>
      <c r="J51" s="57"/>
      <c r="K51" s="57"/>
    </row>
    <row r="52" spans="1:11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1" ht="17.100000000000001" customHeight="1" x14ac:dyDescent="0.35">
      <c r="J53" s="55" t="s">
        <v>65</v>
      </c>
    </row>
    <row r="54" spans="1:11" ht="17.100000000000001" customHeight="1" x14ac:dyDescent="0.35"/>
  </sheetData>
  <sheetProtection formatCells="0" formatColumns="0" formatRows="0"/>
  <phoneticPr fontId="14" type="noConversion"/>
  <pageMargins left="0.95" right="0.35433070866141703" top="0.39370078740157499" bottom="0.39370078740157499" header="0.511811023622047" footer="0.511811023622047"/>
  <pageSetup paperSize="9" scale="95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view="pageLayout" zoomScaleNormal="112" workbookViewId="0">
      <selection activeCell="B3" sqref="B3"/>
    </sheetView>
  </sheetViews>
  <sheetFormatPr defaultRowHeight="12.75" x14ac:dyDescent="0.35"/>
  <cols>
    <col min="1" max="1" width="11.53125" customWidth="1"/>
    <col min="2" max="2" width="9" customWidth="1"/>
    <col min="3" max="3" width="11" customWidth="1"/>
    <col min="4" max="4" width="4.1328125" customWidth="1"/>
    <col min="5" max="5" width="11.53125" customWidth="1"/>
    <col min="6" max="6" width="3.33203125" customWidth="1"/>
    <col min="7" max="7" width="6.86328125" customWidth="1"/>
    <col min="8" max="8" width="7.46484375" customWidth="1"/>
    <col min="9" max="9" width="8.86328125" customWidth="1"/>
    <col min="10" max="11" width="8.33203125" customWidth="1"/>
  </cols>
  <sheetData>
    <row r="1" spans="1:12" ht="13.15" x14ac:dyDescent="0.4">
      <c r="A1" s="147"/>
      <c r="B1" s="147"/>
      <c r="C1" s="147"/>
      <c r="D1" s="147"/>
      <c r="E1" s="147"/>
      <c r="F1" s="147"/>
      <c r="G1" s="147"/>
      <c r="H1" s="147"/>
      <c r="I1" s="148" t="s">
        <v>80</v>
      </c>
      <c r="J1" s="149" t="s">
        <v>82</v>
      </c>
      <c r="K1" s="150" t="s">
        <v>89</v>
      </c>
      <c r="L1" s="14"/>
    </row>
    <row r="2" spans="1:12" ht="13.15" x14ac:dyDescent="0.4">
      <c r="A2" s="147"/>
      <c r="B2" s="147"/>
      <c r="C2" s="147"/>
      <c r="D2" s="147"/>
      <c r="E2" s="147"/>
      <c r="F2" s="147"/>
      <c r="G2" s="147"/>
      <c r="H2" s="147"/>
      <c r="I2" s="148" t="s">
        <v>81</v>
      </c>
      <c r="J2" s="149" t="s">
        <v>82</v>
      </c>
      <c r="K2" s="151" t="s">
        <v>83</v>
      </c>
      <c r="L2" s="14"/>
    </row>
    <row r="3" spans="1:12" ht="19.899999999999999" x14ac:dyDescent="0.5">
      <c r="A3" s="147"/>
      <c r="B3" s="147"/>
      <c r="C3" s="147"/>
      <c r="D3" s="319" t="s">
        <v>32</v>
      </c>
      <c r="E3" s="147"/>
      <c r="F3" s="147"/>
      <c r="G3" s="147"/>
      <c r="H3" s="147"/>
      <c r="I3" s="153"/>
      <c r="J3" s="154"/>
      <c r="K3" s="154"/>
      <c r="L3" s="14"/>
    </row>
    <row r="4" spans="1:12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"/>
    </row>
    <row r="5" spans="1:12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"/>
    </row>
    <row r="6" spans="1:12" ht="15" x14ac:dyDescent="0.4">
      <c r="A6" s="155" t="str">
        <f>'Portage Bill'!B3</f>
        <v xml:space="preserve">Vessel:     </v>
      </c>
      <c r="B6" s="156">
        <f>'Portage Bill'!C3</f>
        <v>0</v>
      </c>
      <c r="C6" s="157"/>
      <c r="D6" s="158"/>
      <c r="E6" s="159"/>
      <c r="F6" s="147"/>
      <c r="G6" s="147"/>
      <c r="H6" s="155" t="s">
        <v>33</v>
      </c>
      <c r="I6" s="155"/>
      <c r="J6" s="160" t="s">
        <v>34</v>
      </c>
      <c r="K6" s="161"/>
      <c r="L6" s="14"/>
    </row>
    <row r="7" spans="1:12" ht="15" customHeight="1" x14ac:dyDescent="0.4">
      <c r="A7" s="147"/>
      <c r="B7" s="147"/>
      <c r="C7" s="147"/>
      <c r="D7" s="147"/>
      <c r="E7" s="147"/>
      <c r="F7" s="147"/>
      <c r="G7" s="147"/>
      <c r="H7" s="155" t="s">
        <v>35</v>
      </c>
      <c r="I7" s="155"/>
      <c r="J7" s="162"/>
      <c r="K7" s="163">
        <f>'Portage Bill'!F76</f>
        <v>0</v>
      </c>
      <c r="L7" s="14"/>
    </row>
    <row r="8" spans="1:12" ht="15" customHeight="1" x14ac:dyDescent="0.4">
      <c r="A8" s="155" t="s">
        <v>36</v>
      </c>
      <c r="B8" s="164">
        <f>'Portage Bill'!B25</f>
        <v>0</v>
      </c>
      <c r="C8" s="165"/>
      <c r="D8" s="165"/>
      <c r="E8" s="147"/>
      <c r="F8" s="147"/>
      <c r="G8" s="147"/>
      <c r="H8" s="155" t="s">
        <v>37</v>
      </c>
      <c r="I8" s="155"/>
      <c r="J8" s="162"/>
      <c r="K8" s="163">
        <f>'Portage Bill'!J76</f>
        <v>0</v>
      </c>
      <c r="L8" s="14"/>
    </row>
    <row r="9" spans="1:12" ht="15" customHeight="1" x14ac:dyDescent="0.4">
      <c r="A9" s="155" t="s">
        <v>38</v>
      </c>
      <c r="B9" s="166" t="str">
        <f>'Portage Bill'!D25</f>
        <v>Motorman</v>
      </c>
      <c r="C9" s="165"/>
      <c r="D9" s="147"/>
      <c r="E9" s="147"/>
      <c r="F9" s="147"/>
      <c r="G9" s="147"/>
      <c r="H9" s="155" t="s">
        <v>39</v>
      </c>
      <c r="I9" s="155"/>
      <c r="J9" s="155"/>
      <c r="K9" s="147"/>
      <c r="L9" s="14"/>
    </row>
    <row r="10" spans="1:12" ht="15" customHeight="1" x14ac:dyDescent="0.4">
      <c r="A10" s="155" t="s">
        <v>40</v>
      </c>
      <c r="B10" s="167"/>
      <c r="C10" s="168"/>
      <c r="D10" s="147"/>
      <c r="E10" s="147"/>
      <c r="F10" s="147"/>
      <c r="G10" s="155" t="s">
        <v>41</v>
      </c>
      <c r="H10" s="169"/>
      <c r="I10" s="155" t="s">
        <v>42</v>
      </c>
      <c r="J10" s="316"/>
      <c r="K10" s="171"/>
      <c r="L10" s="14"/>
    </row>
    <row r="11" spans="1:12" ht="15" customHeight="1" x14ac:dyDescent="0.4">
      <c r="A11" s="155"/>
      <c r="B11" s="334"/>
      <c r="C11" s="335"/>
      <c r="D11" s="147"/>
      <c r="E11" s="147"/>
      <c r="F11" s="147"/>
      <c r="G11" s="155"/>
      <c r="H11" s="336"/>
      <c r="I11" s="155"/>
      <c r="J11" s="316"/>
      <c r="K11" s="337"/>
      <c r="L11" s="14"/>
    </row>
    <row r="12" spans="1:12" ht="15" customHeight="1" x14ac:dyDescent="0.4">
      <c r="A12" s="344" t="s">
        <v>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14"/>
    </row>
    <row r="13" spans="1:12" ht="15" customHeight="1" x14ac:dyDescent="0.4">
      <c r="A13" s="346" t="s">
        <v>44</v>
      </c>
      <c r="B13" s="338"/>
      <c r="C13" s="175">
        <f>'Portage Bill'!G2</f>
        <v>41365</v>
      </c>
      <c r="D13" s="347" t="s">
        <v>45</v>
      </c>
      <c r="E13" s="175">
        <f>'Portage Bill'!K2</f>
        <v>41394</v>
      </c>
      <c r="F13" s="348" t="s">
        <v>46</v>
      </c>
      <c r="G13" s="177" t="s">
        <v>114</v>
      </c>
      <c r="H13" s="347" t="s">
        <v>47</v>
      </c>
      <c r="I13" s="178">
        <f>'Portage Bill'!F25</f>
        <v>0</v>
      </c>
      <c r="J13" s="347" t="s">
        <v>43</v>
      </c>
      <c r="K13" s="163">
        <f>'Portage Bill'!G25</f>
        <v>0</v>
      </c>
      <c r="L13" s="14"/>
    </row>
    <row r="14" spans="1:12" ht="15" customHeight="1" x14ac:dyDescent="0.4">
      <c r="A14" s="349" t="s">
        <v>140</v>
      </c>
      <c r="B14" s="350"/>
      <c r="C14" s="43"/>
      <c r="D14" s="43"/>
      <c r="E14" s="43"/>
      <c r="F14" s="351"/>
      <c r="G14" s="8"/>
      <c r="H14" s="43"/>
      <c r="I14" s="352"/>
      <c r="J14" s="353"/>
      <c r="K14" s="49">
        <f>'Portage Bill'!I25</f>
        <v>0</v>
      </c>
      <c r="L14" s="14"/>
    </row>
    <row r="15" spans="1:12" ht="15" customHeight="1" x14ac:dyDescent="0.4">
      <c r="A15" s="349" t="s">
        <v>48</v>
      </c>
      <c r="B15" s="83"/>
      <c r="C15" s="43"/>
      <c r="D15" s="43"/>
      <c r="E15" s="43"/>
      <c r="F15" s="43"/>
      <c r="G15" s="43"/>
      <c r="H15" s="43"/>
      <c r="I15" s="43"/>
      <c r="J15" s="8"/>
      <c r="K15" s="49">
        <f>'Portage Bill'!N25</f>
        <v>0</v>
      </c>
      <c r="L15" s="14"/>
    </row>
    <row r="16" spans="1:12" ht="15" customHeight="1" x14ac:dyDescent="0.4">
      <c r="A16" s="349" t="s">
        <v>49</v>
      </c>
      <c r="B16" s="84"/>
      <c r="C16" s="46" t="s">
        <v>18</v>
      </c>
      <c r="D16" s="43"/>
      <c r="E16" s="43"/>
      <c r="F16" s="43"/>
      <c r="G16" s="43"/>
      <c r="H16" s="43"/>
      <c r="I16" s="43"/>
      <c r="J16" s="8"/>
      <c r="K16" s="49">
        <f>'Portage Bill'!O25</f>
        <v>0</v>
      </c>
      <c r="L16" s="14"/>
    </row>
    <row r="17" spans="1:13" ht="15" customHeight="1" x14ac:dyDescent="0.4">
      <c r="A17" s="349" t="s">
        <v>50</v>
      </c>
      <c r="B17" s="81"/>
      <c r="C17" s="274" t="str">
        <f>'Portage Bill'!L5</f>
        <v>Travelling</v>
      </c>
      <c r="D17" s="43"/>
      <c r="E17" s="43"/>
      <c r="F17" s="43"/>
      <c r="G17" s="43"/>
      <c r="H17" s="43"/>
      <c r="I17" s="43"/>
      <c r="J17" s="8"/>
      <c r="K17" s="49">
        <f>'Portage Bill'!L25</f>
        <v>0</v>
      </c>
      <c r="L17" s="14"/>
    </row>
    <row r="18" spans="1:13" ht="15" customHeight="1" x14ac:dyDescent="0.4">
      <c r="A18" s="351" t="s">
        <v>50</v>
      </c>
      <c r="B18" s="43"/>
      <c r="C18" s="81" t="str">
        <f>'Portage Bill'!J6</f>
        <v>FIDELITY</v>
      </c>
      <c r="D18" s="43"/>
      <c r="E18" s="43"/>
      <c r="F18" s="43"/>
      <c r="G18" s="43"/>
      <c r="H18" s="43"/>
      <c r="I18" s="43"/>
      <c r="J18" s="8"/>
      <c r="K18" s="49">
        <f>'Portage Bill'!J25</f>
        <v>0</v>
      </c>
    </row>
    <row r="19" spans="1:13" ht="15" customHeight="1" x14ac:dyDescent="0.4">
      <c r="A19" s="351" t="s">
        <v>50</v>
      </c>
      <c r="B19" s="43"/>
      <c r="C19" s="82" t="str">
        <f>'Portage Bill'!K5</f>
        <v>ALLOWANCE</v>
      </c>
      <c r="D19" s="43"/>
      <c r="E19" s="43"/>
      <c r="F19" s="43"/>
      <c r="G19" s="43"/>
      <c r="H19" s="43"/>
      <c r="I19" s="43"/>
      <c r="J19" s="8"/>
      <c r="K19" s="50">
        <f>'Portage Bill'!K25</f>
        <v>0</v>
      </c>
    </row>
    <row r="20" spans="1:13" ht="15" customHeight="1" x14ac:dyDescent="0.45">
      <c r="A20" s="354" t="s">
        <v>50</v>
      </c>
      <c r="B20" s="44"/>
      <c r="C20" s="280" t="str">
        <f>'Portage Bill'!P6</f>
        <v>Bonus &amp; Extras</v>
      </c>
      <c r="D20" s="69"/>
      <c r="E20" s="67"/>
      <c r="F20" s="44"/>
      <c r="G20" s="44"/>
      <c r="H20" s="44"/>
      <c r="I20" s="44"/>
      <c r="J20" s="44"/>
      <c r="K20" s="355">
        <f>'Portage Bill'!P25</f>
        <v>0</v>
      </c>
    </row>
    <row r="21" spans="1:13" ht="15" customHeight="1" x14ac:dyDescent="0.4">
      <c r="A21" s="42"/>
      <c r="B21" s="42"/>
      <c r="C21" s="42"/>
      <c r="D21" s="42"/>
      <c r="E21" s="42"/>
      <c r="F21" s="42"/>
      <c r="H21" s="51" t="s">
        <v>51</v>
      </c>
      <c r="I21" s="42"/>
      <c r="J21" s="42"/>
      <c r="K21" s="52">
        <f>SUM(K12:K20)</f>
        <v>0</v>
      </c>
    </row>
    <row r="22" spans="1:13" ht="15" customHeight="1" x14ac:dyDescent="0.4">
      <c r="A22" s="42"/>
      <c r="B22" s="42"/>
      <c r="C22" s="42"/>
      <c r="D22" s="42"/>
      <c r="E22" s="42"/>
      <c r="F22" s="42"/>
      <c r="H22" s="51"/>
      <c r="I22" s="42"/>
      <c r="J22" s="42"/>
      <c r="K22" s="52"/>
    </row>
    <row r="23" spans="1:13" ht="15" customHeight="1" x14ac:dyDescent="0.4">
      <c r="A23" s="339" t="s">
        <v>135</v>
      </c>
      <c r="B23" s="340"/>
      <c r="C23" s="340"/>
      <c r="D23" s="340"/>
      <c r="E23" s="340"/>
      <c r="F23" s="340"/>
      <c r="G23" s="341"/>
      <c r="H23" s="342"/>
      <c r="I23" s="340"/>
      <c r="J23" s="340"/>
      <c r="K23" s="356">
        <f>'Portage Bill'!AB25</f>
        <v>0</v>
      </c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339" t="s">
        <v>138</v>
      </c>
      <c r="B25" s="340"/>
      <c r="C25" s="340"/>
      <c r="D25" s="340"/>
      <c r="E25" s="340"/>
      <c r="F25" s="340"/>
      <c r="G25" s="341"/>
      <c r="H25" s="342"/>
      <c r="I25" s="340"/>
      <c r="J25" s="340"/>
      <c r="K25" s="356">
        <f>'Portage Bill'!AC25</f>
        <v>0</v>
      </c>
    </row>
    <row r="26" spans="1:13" ht="15" customHeight="1" x14ac:dyDescent="0.4">
      <c r="A26" s="363"/>
      <c r="B26" s="8"/>
      <c r="C26" s="8"/>
      <c r="D26" s="8"/>
      <c r="E26" s="8"/>
      <c r="F26" s="8"/>
      <c r="G26" s="1"/>
      <c r="H26" s="364"/>
      <c r="I26" s="8"/>
      <c r="J26" s="8"/>
      <c r="K26" s="365"/>
    </row>
    <row r="27" spans="1:13" ht="15" customHeight="1" x14ac:dyDescent="0.4">
      <c r="A27" s="339"/>
      <c r="B27" s="340"/>
      <c r="C27" s="340"/>
      <c r="D27" s="340"/>
      <c r="E27" s="340"/>
      <c r="F27" s="340"/>
      <c r="G27" s="342" t="s">
        <v>139</v>
      </c>
      <c r="H27" s="342"/>
      <c r="I27" s="340"/>
      <c r="J27" s="340"/>
      <c r="K27" s="356">
        <f>SUM(K21:K26)</f>
        <v>0</v>
      </c>
      <c r="M27" s="42"/>
    </row>
    <row r="28" spans="1:13" ht="15" customHeight="1" x14ac:dyDescent="0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357" t="s">
        <v>52</v>
      </c>
      <c r="B29" s="358"/>
      <c r="C29" s="358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88" t="str">
        <f>'Portage Bill'!X7</f>
        <v>Telecon</v>
      </c>
      <c r="B30" s="8"/>
      <c r="C30" s="62">
        <f>'Portage Bill'!X25</f>
        <v>0</v>
      </c>
      <c r="D30" s="42"/>
      <c r="E30" s="42"/>
      <c r="F30" s="42"/>
      <c r="G30" s="42"/>
      <c r="H30" s="42"/>
      <c r="I30" s="42"/>
      <c r="J30" s="42"/>
      <c r="K30" s="62"/>
      <c r="M30" s="42"/>
    </row>
    <row r="31" spans="1:13" ht="15" customHeight="1" x14ac:dyDescent="0.4">
      <c r="A31" s="351" t="s">
        <v>53</v>
      </c>
      <c r="B31" s="8"/>
      <c r="C31" s="62">
        <f>'Portage Bill'!W25</f>
        <v>0</v>
      </c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351" t="s">
        <v>54</v>
      </c>
      <c r="B32" s="8"/>
      <c r="C32" s="62">
        <f>'Portage Bill'!U25</f>
        <v>0</v>
      </c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351" t="s">
        <v>54</v>
      </c>
      <c r="B33" s="8"/>
      <c r="C33" s="62">
        <f>'Portage Bill'!V25</f>
        <v>0</v>
      </c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351" t="s">
        <v>98</v>
      </c>
      <c r="B34" s="8"/>
      <c r="C34" s="62">
        <f>'Portage Bill'!T25</f>
        <v>0</v>
      </c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351" t="s">
        <v>92</v>
      </c>
      <c r="B35" s="8"/>
      <c r="C35" s="62">
        <f>'Portage Bill'!Y25</f>
        <v>0</v>
      </c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351" t="str">
        <f>'Portage Bill'!R7</f>
        <v>***Leave pay</v>
      </c>
      <c r="B36" s="8"/>
      <c r="C36" s="343">
        <f>'Portage Bill'!R25</f>
        <v>0</v>
      </c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351" t="s">
        <v>55</v>
      </c>
      <c r="B37" s="8"/>
      <c r="C37" s="43"/>
      <c r="D37" s="42"/>
      <c r="E37" s="42"/>
      <c r="F37" s="42"/>
      <c r="G37" s="42"/>
      <c r="H37" s="42"/>
      <c r="I37" s="42"/>
      <c r="J37" s="42"/>
      <c r="K37" s="42"/>
    </row>
    <row r="38" spans="1:13" ht="12.75" customHeight="1" x14ac:dyDescent="0.4">
      <c r="A38" s="359" t="str">
        <f>'deduct list'!W9</f>
        <v>Accumulated Leave pay</v>
      </c>
      <c r="B38" s="44"/>
      <c r="C38" s="44"/>
      <c r="D38" s="42"/>
      <c r="E38" s="294">
        <f>'deduct list'!W27</f>
        <v>0</v>
      </c>
      <c r="F38" s="42"/>
      <c r="G38" s="42"/>
      <c r="H38" s="45"/>
      <c r="I38" s="42"/>
      <c r="J38" s="42"/>
      <c r="K38" s="50"/>
    </row>
    <row r="39" spans="1:13" ht="15" customHeight="1" x14ac:dyDescent="0.4">
      <c r="A39" s="369" t="s">
        <v>56</v>
      </c>
      <c r="B39" s="18"/>
      <c r="C39" s="371">
        <f>SUM(C30:C38)</f>
        <v>0</v>
      </c>
      <c r="D39" s="147"/>
      <c r="E39" s="147"/>
      <c r="F39" s="147"/>
      <c r="G39" s="179"/>
      <c r="H39" s="179"/>
      <c r="I39" s="179"/>
      <c r="J39" s="179"/>
      <c r="K39" s="360"/>
    </row>
    <row r="40" spans="1:13" ht="15" customHeight="1" x14ac:dyDescent="0.45">
      <c r="A40" s="48"/>
      <c r="B40" s="42"/>
      <c r="C40" s="62"/>
      <c r="D40" s="147"/>
      <c r="E40" s="147"/>
      <c r="F40" s="147"/>
      <c r="G40" s="147"/>
      <c r="H40" s="367" t="s">
        <v>136</v>
      </c>
      <c r="I40" s="75"/>
      <c r="J40" s="75"/>
      <c r="K40" s="370">
        <f>'Portage Bill'!S25</f>
        <v>0</v>
      </c>
    </row>
    <row r="41" spans="1:13" ht="15" customHeight="1" x14ac:dyDescent="0.45">
      <c r="A41" s="48"/>
      <c r="B41" s="42"/>
      <c r="C41" s="368"/>
      <c r="D41" s="147"/>
      <c r="E41" s="147"/>
      <c r="F41" s="147"/>
      <c r="G41" s="147"/>
      <c r="H41" s="367"/>
      <c r="I41" s="75"/>
      <c r="J41" s="75"/>
      <c r="K41" s="361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366" t="s">
        <v>137</v>
      </c>
      <c r="I42" s="362"/>
      <c r="J42" s="75"/>
      <c r="K42" s="366">
        <f>'Portage Bill'!AD25</f>
        <v>0</v>
      </c>
    </row>
    <row r="43" spans="1:13" ht="22.5" customHeight="1" x14ac:dyDescent="0.4">
      <c r="A43" s="155" t="s">
        <v>57</v>
      </c>
      <c r="B43" s="147"/>
      <c r="C43" s="165"/>
      <c r="D43" s="165"/>
      <c r="E43" s="208"/>
      <c r="F43" s="179" t="s">
        <v>58</v>
      </c>
      <c r="G43" s="154"/>
      <c r="H43" s="208"/>
      <c r="I43" s="165"/>
      <c r="J43" s="165"/>
      <c r="K43" s="165"/>
    </row>
    <row r="44" spans="1:13" ht="15" customHeight="1" x14ac:dyDescent="0.4">
      <c r="A44" s="155" t="s">
        <v>59</v>
      </c>
      <c r="B44" s="14"/>
      <c r="C44" s="209"/>
      <c r="D44" s="209"/>
      <c r="E44" s="209"/>
      <c r="F44" s="209"/>
      <c r="G44" s="209"/>
      <c r="H44" s="209"/>
      <c r="I44" s="209"/>
      <c r="J44" s="209"/>
      <c r="K44" s="209"/>
    </row>
    <row r="45" spans="1:13" ht="15" customHeight="1" x14ac:dyDescent="0.4">
      <c r="A45" s="155" t="s">
        <v>60</v>
      </c>
      <c r="B45" s="14"/>
      <c r="C45" s="14"/>
      <c r="D45" s="14"/>
      <c r="E45" s="210"/>
      <c r="F45" s="209"/>
      <c r="G45" s="209"/>
      <c r="H45" s="209"/>
      <c r="I45" s="209"/>
      <c r="J45" s="209"/>
      <c r="K45" s="209"/>
    </row>
    <row r="46" spans="1:13" ht="15" customHeight="1" x14ac:dyDescent="0.4">
      <c r="A46" s="155" t="s">
        <v>61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3" ht="21" customHeight="1" x14ac:dyDescent="0.4">
      <c r="A47" s="211" t="s">
        <v>106</v>
      </c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 t="s">
        <v>62</v>
      </c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1" ht="15" customHeight="1" x14ac:dyDescent="0.4">
      <c r="A49" s="147"/>
      <c r="B49" s="14"/>
      <c r="C49" s="14"/>
      <c r="D49" s="14"/>
      <c r="E49" s="179" t="s">
        <v>30</v>
      </c>
      <c r="F49" s="214"/>
      <c r="G49" s="233">
        <f>'Portage Bill'!K2</f>
        <v>41394</v>
      </c>
      <c r="H49" s="14"/>
      <c r="I49" s="14"/>
      <c r="J49" s="14"/>
      <c r="K49" s="14"/>
    </row>
    <row r="50" spans="1:11" ht="24" customHeight="1" x14ac:dyDescent="0.4">
      <c r="A50" s="43"/>
      <c r="B50" s="53"/>
      <c r="C50" s="53"/>
      <c r="D50" s="53"/>
      <c r="G50" s="1"/>
      <c r="H50" s="53"/>
      <c r="I50" s="53"/>
      <c r="J50" s="53"/>
      <c r="K50" s="53"/>
    </row>
    <row r="51" spans="1:11" ht="15" customHeight="1" x14ac:dyDescent="0.35">
      <c r="A51" s="58" t="s">
        <v>63</v>
      </c>
      <c r="B51" s="56"/>
      <c r="C51" s="56"/>
      <c r="D51" s="56"/>
      <c r="H51" s="59" t="s">
        <v>64</v>
      </c>
      <c r="I51" s="57"/>
      <c r="J51" s="57"/>
      <c r="K51" s="57"/>
    </row>
    <row r="52" spans="1:11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1" ht="17.100000000000001" customHeight="1" x14ac:dyDescent="0.35">
      <c r="J53" s="55" t="s">
        <v>65</v>
      </c>
    </row>
    <row r="54" spans="1:11" ht="17.100000000000001" customHeight="1" x14ac:dyDescent="0.35"/>
  </sheetData>
  <sheetProtection formatCells="0" formatColumns="0" formatRows="0"/>
  <phoneticPr fontId="14" type="noConversion"/>
  <pageMargins left="1.28" right="0.35433070866141703" top="0.39370078740157499" bottom="0.39370078740157499" header="0.511811023622047" footer="0.511811023622047"/>
  <pageSetup paperSize="9" scale="95" orientation="portrait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view="pageLayout" zoomScaleNormal="106" workbookViewId="0">
      <selection activeCell="A2" sqref="A2:C4"/>
    </sheetView>
  </sheetViews>
  <sheetFormatPr defaultRowHeight="12.75" x14ac:dyDescent="0.35"/>
  <cols>
    <col min="1" max="1" width="10.33203125" customWidth="1"/>
    <col min="2" max="2" width="11.33203125" customWidth="1"/>
    <col min="3" max="3" width="11" customWidth="1"/>
    <col min="4" max="4" width="4.1328125" customWidth="1"/>
    <col min="5" max="5" width="11" customWidth="1"/>
    <col min="6" max="6" width="3.33203125" customWidth="1"/>
    <col min="7" max="7" width="8" customWidth="1"/>
    <col min="8" max="8" width="7.46484375" customWidth="1"/>
    <col min="9" max="9" width="8.53125" customWidth="1"/>
    <col min="10" max="10" width="7.86328125" customWidth="1"/>
    <col min="11" max="11" width="9" bestFit="1" customWidth="1"/>
  </cols>
  <sheetData>
    <row r="1" spans="1:12" ht="13.15" x14ac:dyDescent="0.4">
      <c r="A1" s="147"/>
      <c r="B1" s="147"/>
      <c r="C1" s="147"/>
      <c r="D1" s="147"/>
      <c r="E1" s="147"/>
      <c r="F1" s="147"/>
      <c r="G1" s="147"/>
      <c r="H1" s="147"/>
      <c r="I1" s="148" t="s">
        <v>80</v>
      </c>
      <c r="J1" s="149" t="s">
        <v>82</v>
      </c>
      <c r="K1" s="150" t="s">
        <v>89</v>
      </c>
      <c r="L1" s="14"/>
    </row>
    <row r="2" spans="1:12" ht="13.15" x14ac:dyDescent="0.4">
      <c r="A2" s="147"/>
      <c r="B2" s="147"/>
      <c r="C2" s="147"/>
      <c r="D2" s="147"/>
      <c r="E2" s="147"/>
      <c r="F2" s="147"/>
      <c r="G2" s="147"/>
      <c r="H2" s="147"/>
      <c r="I2" s="148" t="s">
        <v>81</v>
      </c>
      <c r="J2" s="149" t="s">
        <v>82</v>
      </c>
      <c r="K2" s="151" t="s">
        <v>83</v>
      </c>
      <c r="L2" s="14"/>
    </row>
    <row r="3" spans="1:12" ht="19.899999999999999" x14ac:dyDescent="0.5">
      <c r="A3" s="147"/>
      <c r="B3" s="147"/>
      <c r="C3" s="147"/>
      <c r="D3" s="319" t="s">
        <v>32</v>
      </c>
      <c r="E3" s="147"/>
      <c r="F3" s="147"/>
      <c r="G3" s="147"/>
      <c r="H3" s="147"/>
      <c r="I3" s="153"/>
      <c r="J3" s="154"/>
      <c r="K3" s="154"/>
      <c r="L3" s="14"/>
    </row>
    <row r="4" spans="1:12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"/>
    </row>
    <row r="5" spans="1:12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"/>
    </row>
    <row r="6" spans="1:12" ht="15" x14ac:dyDescent="0.4">
      <c r="A6" s="155" t="str">
        <f>'Portage Bill'!B3</f>
        <v xml:space="preserve">Vessel:     </v>
      </c>
      <c r="B6" s="156">
        <f>'Portage Bill'!C3</f>
        <v>0</v>
      </c>
      <c r="C6" s="157"/>
      <c r="D6" s="158"/>
      <c r="E6" s="159"/>
      <c r="F6" s="147"/>
      <c r="G6" s="147"/>
      <c r="H6" s="155" t="s">
        <v>33</v>
      </c>
      <c r="I6" s="155"/>
      <c r="J6" s="160" t="s">
        <v>34</v>
      </c>
      <c r="K6" s="161"/>
      <c r="L6" s="14"/>
    </row>
    <row r="7" spans="1:12" ht="15" customHeight="1" x14ac:dyDescent="0.4">
      <c r="A7" s="147"/>
      <c r="B7" s="147"/>
      <c r="C7" s="147"/>
      <c r="D7" s="147"/>
      <c r="E7" s="147"/>
      <c r="F7" s="147"/>
      <c r="G7" s="147"/>
      <c r="H7" s="155" t="s">
        <v>35</v>
      </c>
      <c r="I7" s="155"/>
      <c r="J7" s="162"/>
      <c r="K7" s="163">
        <f>'Portage Bill'!F77</f>
        <v>0</v>
      </c>
      <c r="L7" s="14"/>
    </row>
    <row r="8" spans="1:12" ht="15" customHeight="1" x14ac:dyDescent="0.4">
      <c r="A8" s="155" t="s">
        <v>36</v>
      </c>
      <c r="B8" s="164">
        <f>'Portage Bill'!B26</f>
        <v>0</v>
      </c>
      <c r="C8" s="165"/>
      <c r="D8" s="165"/>
      <c r="E8" s="147"/>
      <c r="F8" s="147"/>
      <c r="G8" s="147"/>
      <c r="H8" s="155" t="s">
        <v>37</v>
      </c>
      <c r="I8" s="155"/>
      <c r="J8" s="162"/>
      <c r="K8" s="163">
        <f>'Portage Bill'!J77</f>
        <v>0</v>
      </c>
      <c r="L8" s="14"/>
    </row>
    <row r="9" spans="1:12" ht="15" customHeight="1" x14ac:dyDescent="0.4">
      <c r="A9" s="155" t="s">
        <v>38</v>
      </c>
      <c r="B9" s="166" t="str">
        <f>'Portage Bill'!D26</f>
        <v>Wiper</v>
      </c>
      <c r="C9" s="165"/>
      <c r="D9" s="147"/>
      <c r="E9" s="147"/>
      <c r="F9" s="147"/>
      <c r="G9" s="147"/>
      <c r="H9" s="155" t="s">
        <v>39</v>
      </c>
      <c r="I9" s="155"/>
      <c r="J9" s="155"/>
      <c r="K9" s="147"/>
      <c r="L9" s="14"/>
    </row>
    <row r="10" spans="1:12" ht="15" customHeight="1" x14ac:dyDescent="0.4">
      <c r="A10" s="155" t="s">
        <v>40</v>
      </c>
      <c r="B10" s="167"/>
      <c r="C10" s="168"/>
      <c r="D10" s="147"/>
      <c r="E10" s="147"/>
      <c r="F10" s="147"/>
      <c r="G10" s="155" t="s">
        <v>41</v>
      </c>
      <c r="H10" s="169"/>
      <c r="I10" s="155" t="s">
        <v>42</v>
      </c>
      <c r="J10" s="316"/>
      <c r="K10" s="171"/>
      <c r="L10" s="14"/>
    </row>
    <row r="11" spans="1:12" ht="15" customHeight="1" x14ac:dyDescent="0.4">
      <c r="A11" s="155"/>
      <c r="B11" s="334"/>
      <c r="C11" s="335"/>
      <c r="D11" s="147"/>
      <c r="E11" s="147"/>
      <c r="F11" s="147"/>
      <c r="G11" s="155"/>
      <c r="H11" s="336"/>
      <c r="I11" s="155"/>
      <c r="J11" s="316"/>
      <c r="K11" s="337"/>
      <c r="L11" s="14"/>
    </row>
    <row r="12" spans="1:12" ht="15" customHeight="1" x14ac:dyDescent="0.4">
      <c r="A12" s="344" t="s">
        <v>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14"/>
    </row>
    <row r="13" spans="1:12" ht="15" customHeight="1" x14ac:dyDescent="0.4">
      <c r="A13" s="346" t="s">
        <v>44</v>
      </c>
      <c r="B13" s="338"/>
      <c r="C13" s="175">
        <f>'Portage Bill'!G2</f>
        <v>41365</v>
      </c>
      <c r="D13" s="347" t="s">
        <v>45</v>
      </c>
      <c r="E13" s="175">
        <f>'Portage Bill'!K2</f>
        <v>41394</v>
      </c>
      <c r="F13" s="348" t="s">
        <v>46</v>
      </c>
      <c r="G13" s="177" t="s">
        <v>114</v>
      </c>
      <c r="H13" s="347" t="s">
        <v>47</v>
      </c>
      <c r="I13" s="178">
        <f>'Portage Bill'!F26</f>
        <v>0</v>
      </c>
      <c r="J13" s="347" t="s">
        <v>43</v>
      </c>
      <c r="K13" s="163">
        <f>'Portage Bill'!G26</f>
        <v>0</v>
      </c>
      <c r="L13" s="14"/>
    </row>
    <row r="14" spans="1:12" ht="15" customHeight="1" x14ac:dyDescent="0.4">
      <c r="A14" s="349" t="s">
        <v>140</v>
      </c>
      <c r="B14" s="350"/>
      <c r="C14" s="43"/>
      <c r="D14" s="43"/>
      <c r="E14" s="43"/>
      <c r="F14" s="351"/>
      <c r="G14" s="8"/>
      <c r="H14" s="43"/>
      <c r="I14" s="352"/>
      <c r="J14" s="353"/>
      <c r="K14" s="49">
        <f>'Portage Bill'!I26</f>
        <v>0</v>
      </c>
      <c r="L14" s="14"/>
    </row>
    <row r="15" spans="1:12" ht="15" customHeight="1" x14ac:dyDescent="0.4">
      <c r="A15" s="349" t="s">
        <v>48</v>
      </c>
      <c r="B15" s="83"/>
      <c r="C15" s="43"/>
      <c r="D15" s="43"/>
      <c r="E15" s="43"/>
      <c r="F15" s="43"/>
      <c r="G15" s="43"/>
      <c r="H15" s="43"/>
      <c r="I15" s="43"/>
      <c r="J15" s="8"/>
      <c r="K15" s="49">
        <f>'Portage Bill'!N26</f>
        <v>0</v>
      </c>
      <c r="L15" s="14"/>
    </row>
    <row r="16" spans="1:12" ht="15" customHeight="1" x14ac:dyDescent="0.4">
      <c r="A16" s="349" t="s">
        <v>49</v>
      </c>
      <c r="B16" s="84"/>
      <c r="C16" s="46" t="s">
        <v>18</v>
      </c>
      <c r="D16" s="43"/>
      <c r="E16" s="43"/>
      <c r="F16" s="43"/>
      <c r="G16" s="43"/>
      <c r="H16" s="43"/>
      <c r="I16" s="43"/>
      <c r="J16" s="8"/>
      <c r="K16" s="49">
        <f>'Portage Bill'!O26</f>
        <v>0</v>
      </c>
      <c r="L16" s="14"/>
    </row>
    <row r="17" spans="1:13" ht="15" customHeight="1" x14ac:dyDescent="0.4">
      <c r="A17" s="349" t="s">
        <v>50</v>
      </c>
      <c r="B17" s="81"/>
      <c r="C17" s="274" t="str">
        <f>'Portage Bill'!L5</f>
        <v>Travelling</v>
      </c>
      <c r="D17" s="43"/>
      <c r="E17" s="43"/>
      <c r="F17" s="43"/>
      <c r="G17" s="43"/>
      <c r="H17" s="43"/>
      <c r="I17" s="43"/>
      <c r="J17" s="8"/>
      <c r="K17" s="49">
        <f>'Portage Bill'!L26</f>
        <v>0</v>
      </c>
      <c r="L17" s="14"/>
    </row>
    <row r="18" spans="1:13" ht="15" customHeight="1" x14ac:dyDescent="0.4">
      <c r="A18" s="351" t="s">
        <v>50</v>
      </c>
      <c r="B18" s="43"/>
      <c r="C18" s="81" t="str">
        <f>'Portage Bill'!J6</f>
        <v>FIDELITY</v>
      </c>
      <c r="D18" s="43"/>
      <c r="E18" s="43"/>
      <c r="F18" s="43"/>
      <c r="G18" s="43"/>
      <c r="H18" s="43"/>
      <c r="I18" s="43"/>
      <c r="J18" s="8"/>
      <c r="K18" s="49">
        <f>'Portage Bill'!J26</f>
        <v>0</v>
      </c>
    </row>
    <row r="19" spans="1:13" ht="15" customHeight="1" x14ac:dyDescent="0.4">
      <c r="A19" s="351" t="s">
        <v>50</v>
      </c>
      <c r="B19" s="43"/>
      <c r="C19" s="82" t="str">
        <f>'Portage Bill'!K5</f>
        <v>ALLOWANCE</v>
      </c>
      <c r="D19" s="43"/>
      <c r="E19" s="43"/>
      <c r="F19" s="43"/>
      <c r="G19" s="43"/>
      <c r="H19" s="43"/>
      <c r="I19" s="43"/>
      <c r="J19" s="8"/>
      <c r="K19" s="50">
        <f>'Portage Bill'!K26</f>
        <v>0</v>
      </c>
    </row>
    <row r="20" spans="1:13" ht="15" customHeight="1" x14ac:dyDescent="0.45">
      <c r="A20" s="354" t="s">
        <v>50</v>
      </c>
      <c r="B20" s="44"/>
      <c r="C20" s="280" t="str">
        <f>'Portage Bill'!P6</f>
        <v>Bonus &amp; Extras</v>
      </c>
      <c r="D20" s="69"/>
      <c r="E20" s="67"/>
      <c r="F20" s="44"/>
      <c r="G20" s="44"/>
      <c r="H20" s="44"/>
      <c r="I20" s="44"/>
      <c r="J20" s="44"/>
      <c r="K20" s="355">
        <f>'Portage Bill'!P26</f>
        <v>0</v>
      </c>
    </row>
    <row r="21" spans="1:13" ht="15" customHeight="1" x14ac:dyDescent="0.4">
      <c r="A21" s="42"/>
      <c r="B21" s="42"/>
      <c r="C21" s="42"/>
      <c r="D21" s="42"/>
      <c r="E21" s="42"/>
      <c r="F21" s="42"/>
      <c r="H21" s="51" t="s">
        <v>51</v>
      </c>
      <c r="I21" s="42"/>
      <c r="J21" s="42"/>
      <c r="K21" s="52">
        <f>SUM(K12:K20)</f>
        <v>0</v>
      </c>
    </row>
    <row r="22" spans="1:13" ht="15" customHeight="1" x14ac:dyDescent="0.4">
      <c r="A22" s="42"/>
      <c r="B22" s="42"/>
      <c r="C22" s="42"/>
      <c r="D22" s="42"/>
      <c r="E22" s="42"/>
      <c r="F22" s="42"/>
      <c r="H22" s="51"/>
      <c r="I22" s="42"/>
      <c r="J22" s="42"/>
      <c r="K22" s="52"/>
    </row>
    <row r="23" spans="1:13" ht="15" customHeight="1" x14ac:dyDescent="0.4">
      <c r="A23" s="339" t="s">
        <v>135</v>
      </c>
      <c r="B23" s="340"/>
      <c r="C23" s="340"/>
      <c r="D23" s="340"/>
      <c r="E23" s="340"/>
      <c r="F23" s="340"/>
      <c r="G23" s="341"/>
      <c r="H23" s="342"/>
      <c r="I23" s="340"/>
      <c r="J23" s="340"/>
      <c r="K23" s="356">
        <f>'Portage Bill'!AB26</f>
        <v>0</v>
      </c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339" t="s">
        <v>138</v>
      </c>
      <c r="B25" s="340"/>
      <c r="C25" s="340"/>
      <c r="D25" s="340"/>
      <c r="E25" s="340"/>
      <c r="F25" s="340"/>
      <c r="G25" s="341"/>
      <c r="H25" s="342"/>
      <c r="I25" s="340"/>
      <c r="J25" s="340"/>
      <c r="K25" s="356">
        <f>'Portage Bill'!AC26</f>
        <v>0</v>
      </c>
    </row>
    <row r="26" spans="1:13" ht="15" customHeight="1" x14ac:dyDescent="0.4">
      <c r="A26" s="363"/>
      <c r="B26" s="8"/>
      <c r="C26" s="8"/>
      <c r="D26" s="8"/>
      <c r="E26" s="8"/>
      <c r="F26" s="8"/>
      <c r="G26" s="1"/>
      <c r="H26" s="364"/>
      <c r="I26" s="8"/>
      <c r="J26" s="8"/>
      <c r="K26" s="365"/>
    </row>
    <row r="27" spans="1:13" ht="15" customHeight="1" x14ac:dyDescent="0.4">
      <c r="A27" s="339"/>
      <c r="B27" s="340"/>
      <c r="C27" s="340"/>
      <c r="D27" s="340"/>
      <c r="E27" s="340"/>
      <c r="F27" s="340"/>
      <c r="G27" s="342" t="s">
        <v>139</v>
      </c>
      <c r="H27" s="342"/>
      <c r="I27" s="340"/>
      <c r="J27" s="340"/>
      <c r="K27" s="356">
        <f>SUM(K21:K26)</f>
        <v>0</v>
      </c>
      <c r="M27" s="42"/>
    </row>
    <row r="28" spans="1:13" ht="15" customHeight="1" x14ac:dyDescent="0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357" t="s">
        <v>52</v>
      </c>
      <c r="B29" s="358"/>
      <c r="C29" s="358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88" t="str">
        <f>'Portage Bill'!X7</f>
        <v>Telecon</v>
      </c>
      <c r="B30" s="8"/>
      <c r="C30" s="62">
        <f>'Portage Bill'!X26</f>
        <v>0</v>
      </c>
      <c r="D30" s="42"/>
      <c r="E30" s="42"/>
      <c r="F30" s="42"/>
      <c r="G30" s="42"/>
      <c r="H30" s="42"/>
      <c r="I30" s="42"/>
      <c r="J30" s="42"/>
      <c r="K30" s="62"/>
      <c r="M30" s="42"/>
    </row>
    <row r="31" spans="1:13" ht="15" customHeight="1" x14ac:dyDescent="0.4">
      <c r="A31" s="351" t="s">
        <v>53</v>
      </c>
      <c r="B31" s="8"/>
      <c r="C31" s="62">
        <f>'Portage Bill'!W26</f>
        <v>0</v>
      </c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351" t="s">
        <v>54</v>
      </c>
      <c r="B32" s="8"/>
      <c r="C32" s="62">
        <f>'Portage Bill'!U26</f>
        <v>0</v>
      </c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351" t="s">
        <v>54</v>
      </c>
      <c r="B33" s="8"/>
      <c r="C33" s="62">
        <f>'Portage Bill'!V26</f>
        <v>0</v>
      </c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351" t="s">
        <v>98</v>
      </c>
      <c r="B34" s="8"/>
      <c r="C34" s="62">
        <f>'Portage Bill'!T26</f>
        <v>0</v>
      </c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351" t="s">
        <v>92</v>
      </c>
      <c r="B35" s="8"/>
      <c r="C35" s="62">
        <f>'Portage Bill'!Y26</f>
        <v>0</v>
      </c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351" t="str">
        <f>'Portage Bill'!R7</f>
        <v>***Leave pay</v>
      </c>
      <c r="B36" s="8"/>
      <c r="C36" s="343">
        <f>'Portage Bill'!R26</f>
        <v>0</v>
      </c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351" t="s">
        <v>55</v>
      </c>
      <c r="B37" s="8"/>
      <c r="C37" s="43"/>
      <c r="D37" s="42"/>
      <c r="E37" s="42"/>
      <c r="F37" s="42"/>
      <c r="G37" s="42"/>
      <c r="H37" s="42"/>
      <c r="I37" s="42"/>
      <c r="J37" s="42"/>
      <c r="K37" s="42"/>
      <c r="L37" s="14"/>
    </row>
    <row r="38" spans="1:13" ht="13.5" customHeight="1" x14ac:dyDescent="0.4">
      <c r="A38" s="359" t="str">
        <f>'deduct list'!W9</f>
        <v>Accumulated Leave pay</v>
      </c>
      <c r="B38" s="44"/>
      <c r="C38" s="44"/>
      <c r="D38" s="42"/>
      <c r="E38" s="294">
        <f>'deduct list'!W28</f>
        <v>0</v>
      </c>
      <c r="F38" s="42"/>
      <c r="G38" s="42"/>
      <c r="H38" s="45"/>
      <c r="I38" s="42"/>
      <c r="J38" s="42"/>
      <c r="K38" s="50"/>
      <c r="L38" s="14"/>
    </row>
    <row r="39" spans="1:13" ht="15" customHeight="1" x14ac:dyDescent="0.4">
      <c r="A39" s="369" t="s">
        <v>56</v>
      </c>
      <c r="B39" s="18"/>
      <c r="C39" s="371">
        <f>SUM(C30:C38)</f>
        <v>0</v>
      </c>
      <c r="D39" s="147"/>
      <c r="E39" s="147"/>
      <c r="F39" s="147"/>
      <c r="G39" s="179"/>
      <c r="H39" s="179"/>
      <c r="I39" s="179"/>
      <c r="J39" s="179"/>
      <c r="K39" s="360"/>
      <c r="L39" s="14"/>
    </row>
    <row r="40" spans="1:13" ht="15" customHeight="1" x14ac:dyDescent="0.45">
      <c r="A40" s="48"/>
      <c r="B40" s="42"/>
      <c r="C40" s="62"/>
      <c r="D40" s="147"/>
      <c r="E40" s="147"/>
      <c r="F40" s="147"/>
      <c r="G40" s="147"/>
      <c r="H40" s="367" t="s">
        <v>136</v>
      </c>
      <c r="I40" s="75"/>
      <c r="J40" s="75"/>
      <c r="K40" s="370">
        <f>'Portage Bill'!S26</f>
        <v>0</v>
      </c>
      <c r="L40" s="14"/>
    </row>
    <row r="41" spans="1:13" ht="15" customHeight="1" x14ac:dyDescent="0.45">
      <c r="A41" s="48"/>
      <c r="B41" s="42"/>
      <c r="C41" s="368"/>
      <c r="D41" s="147"/>
      <c r="E41" s="147"/>
      <c r="F41" s="147"/>
      <c r="G41" s="147"/>
      <c r="H41" s="367"/>
      <c r="I41" s="75"/>
      <c r="J41" s="75"/>
      <c r="K41" s="361"/>
      <c r="L41" s="14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366" t="s">
        <v>137</v>
      </c>
      <c r="I42" s="362"/>
      <c r="J42" s="75"/>
      <c r="K42" s="366">
        <f>'Portage Bill'!AD26</f>
        <v>0</v>
      </c>
      <c r="L42" s="14"/>
    </row>
    <row r="43" spans="1:13" ht="22.5" customHeight="1" x14ac:dyDescent="0.4">
      <c r="A43" s="155" t="s">
        <v>57</v>
      </c>
      <c r="B43" s="147"/>
      <c r="C43" s="165"/>
      <c r="D43" s="165"/>
      <c r="E43" s="208"/>
      <c r="F43" s="179" t="s">
        <v>58</v>
      </c>
      <c r="G43" s="154"/>
      <c r="H43" s="208"/>
      <c r="I43" s="165"/>
      <c r="J43" s="165"/>
      <c r="K43" s="165"/>
      <c r="L43" s="14"/>
    </row>
    <row r="44" spans="1:13" ht="15" customHeight="1" x14ac:dyDescent="0.4">
      <c r="A44" s="155" t="s">
        <v>59</v>
      </c>
      <c r="B44" s="14"/>
      <c r="C44" s="209"/>
      <c r="D44" s="209"/>
      <c r="E44" s="209"/>
      <c r="F44" s="209"/>
      <c r="G44" s="209"/>
      <c r="H44" s="209"/>
      <c r="I44" s="209"/>
      <c r="J44" s="209"/>
      <c r="K44" s="209"/>
      <c r="L44" s="14"/>
    </row>
    <row r="45" spans="1:13" ht="15" customHeight="1" x14ac:dyDescent="0.4">
      <c r="A45" s="155" t="s">
        <v>60</v>
      </c>
      <c r="B45" s="14"/>
      <c r="C45" s="14"/>
      <c r="D45" s="14"/>
      <c r="E45" s="210"/>
      <c r="F45" s="209"/>
      <c r="G45" s="209"/>
      <c r="H45" s="209"/>
      <c r="I45" s="209"/>
      <c r="J45" s="209"/>
      <c r="K45" s="209"/>
      <c r="L45" s="14"/>
    </row>
    <row r="46" spans="1:13" ht="15" customHeight="1" x14ac:dyDescent="0.4">
      <c r="A46" s="155" t="s">
        <v>61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3" ht="21" customHeight="1" x14ac:dyDescent="0.4">
      <c r="A47" s="211" t="s">
        <v>106</v>
      </c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 t="s">
        <v>62</v>
      </c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2" ht="15" customHeight="1" x14ac:dyDescent="0.4">
      <c r="A49" s="147"/>
      <c r="B49" s="14"/>
      <c r="C49" s="14"/>
      <c r="D49" s="14"/>
      <c r="E49" s="179" t="s">
        <v>30</v>
      </c>
      <c r="F49" s="214"/>
      <c r="G49" s="233">
        <f>'Portage Bill'!K2</f>
        <v>41394</v>
      </c>
      <c r="H49" s="14"/>
      <c r="I49" s="14"/>
      <c r="J49" s="14"/>
      <c r="K49" s="14"/>
      <c r="L49" s="14"/>
    </row>
    <row r="50" spans="1:12" ht="24" customHeight="1" x14ac:dyDescent="0.4">
      <c r="A50" s="43"/>
      <c r="B50" s="53"/>
      <c r="C50" s="53"/>
      <c r="D50" s="53"/>
      <c r="G50" s="1"/>
      <c r="H50" s="53"/>
      <c r="I50" s="53"/>
      <c r="J50" s="53"/>
      <c r="K50" s="53"/>
    </row>
    <row r="51" spans="1:12" ht="15" customHeight="1" x14ac:dyDescent="0.35">
      <c r="A51" s="58" t="s">
        <v>63</v>
      </c>
      <c r="B51" s="56"/>
      <c r="C51" s="56"/>
      <c r="D51" s="56"/>
      <c r="H51" s="59" t="s">
        <v>64</v>
      </c>
      <c r="I51" s="57"/>
      <c r="J51" s="57"/>
      <c r="K51" s="57"/>
    </row>
    <row r="52" spans="1:12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2" ht="17.100000000000001" customHeight="1" x14ac:dyDescent="0.35">
      <c r="J53" s="55" t="s">
        <v>65</v>
      </c>
    </row>
    <row r="54" spans="1:12" ht="17.100000000000001" customHeight="1" x14ac:dyDescent="0.35"/>
  </sheetData>
  <sheetProtection formatCells="0" formatColumns="0" formatRows="0"/>
  <phoneticPr fontId="14" type="noConversion"/>
  <pageMargins left="1.07" right="0.35433070866141703" top="0.39370078740157499" bottom="0.39370078740157499" header="0.511811023622047" footer="0.511811023622047"/>
  <pageSetup paperSize="9" scale="95" orientation="portrait" horizontalDpi="300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view="pageLayout" zoomScaleNormal="100" workbookViewId="0">
      <selection sqref="A1:C3"/>
    </sheetView>
  </sheetViews>
  <sheetFormatPr defaultRowHeight="12.75" x14ac:dyDescent="0.35"/>
  <cols>
    <col min="1" max="1" width="12" customWidth="1"/>
    <col min="2" max="2" width="9.1328125" customWidth="1"/>
    <col min="3" max="3" width="11.6640625" customWidth="1"/>
    <col min="4" max="4" width="4.1328125" customWidth="1"/>
    <col min="5" max="5" width="11" customWidth="1"/>
    <col min="6" max="6" width="3.33203125" customWidth="1"/>
    <col min="7" max="7" width="10.86328125" bestFit="1" customWidth="1"/>
    <col min="8" max="8" width="7.46484375" customWidth="1"/>
    <col min="10" max="10" width="4.86328125" customWidth="1"/>
    <col min="11" max="11" width="9.33203125" customWidth="1"/>
  </cols>
  <sheetData>
    <row r="1" spans="1:12" ht="13.15" x14ac:dyDescent="0.4">
      <c r="A1" s="147"/>
      <c r="B1" s="147"/>
      <c r="C1" s="147"/>
      <c r="D1" s="147"/>
      <c r="E1" s="147"/>
      <c r="F1" s="147"/>
      <c r="G1" s="147"/>
      <c r="H1" s="147"/>
      <c r="I1" s="148" t="s">
        <v>80</v>
      </c>
      <c r="J1" s="149" t="s">
        <v>82</v>
      </c>
      <c r="K1" s="150" t="s">
        <v>89</v>
      </c>
      <c r="L1" s="14"/>
    </row>
    <row r="2" spans="1:12" ht="13.15" x14ac:dyDescent="0.4">
      <c r="A2" s="147"/>
      <c r="B2" s="147"/>
      <c r="C2" s="147"/>
      <c r="D2" s="147"/>
      <c r="E2" s="147"/>
      <c r="F2" s="147"/>
      <c r="G2" s="147"/>
      <c r="H2" s="147"/>
      <c r="I2" s="148" t="s">
        <v>81</v>
      </c>
      <c r="J2" s="149" t="s">
        <v>82</v>
      </c>
      <c r="K2" s="151" t="s">
        <v>83</v>
      </c>
      <c r="L2" s="14"/>
    </row>
    <row r="3" spans="1:12" ht="19.899999999999999" x14ac:dyDescent="0.5">
      <c r="A3" s="147"/>
      <c r="B3" s="147"/>
      <c r="C3" s="147"/>
      <c r="D3" s="319" t="s">
        <v>32</v>
      </c>
      <c r="E3" s="147"/>
      <c r="F3" s="147"/>
      <c r="G3" s="147"/>
      <c r="H3" s="147"/>
      <c r="I3" s="153"/>
      <c r="J3" s="154"/>
      <c r="K3" s="154"/>
      <c r="L3" s="14"/>
    </row>
    <row r="4" spans="1:12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"/>
    </row>
    <row r="5" spans="1:12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"/>
    </row>
    <row r="6" spans="1:12" ht="15" x14ac:dyDescent="0.4">
      <c r="A6" s="155" t="str">
        <f>'Portage Bill'!B3</f>
        <v xml:space="preserve">Vessel:     </v>
      </c>
      <c r="B6" s="156">
        <f>'Portage Bill'!C3</f>
        <v>0</v>
      </c>
      <c r="C6" s="157"/>
      <c r="D6" s="158"/>
      <c r="E6" s="159"/>
      <c r="F6" s="147"/>
      <c r="G6" s="147"/>
      <c r="H6" s="155" t="s">
        <v>33</v>
      </c>
      <c r="I6" s="155"/>
      <c r="J6" s="160" t="s">
        <v>34</v>
      </c>
      <c r="K6" s="161"/>
      <c r="L6" s="14"/>
    </row>
    <row r="7" spans="1:12" ht="15" customHeight="1" x14ac:dyDescent="0.4">
      <c r="A7" s="147"/>
      <c r="B7" s="147"/>
      <c r="C7" s="147"/>
      <c r="D7" s="147"/>
      <c r="E7" s="147"/>
      <c r="F7" s="147"/>
      <c r="G7" s="147"/>
      <c r="H7" s="155" t="s">
        <v>35</v>
      </c>
      <c r="I7" s="155"/>
      <c r="J7" s="162"/>
      <c r="K7" s="163">
        <f>'Portage Bill'!F78</f>
        <v>0</v>
      </c>
      <c r="L7" s="14"/>
    </row>
    <row r="8" spans="1:12" ht="15" customHeight="1" x14ac:dyDescent="0.4">
      <c r="A8" s="155" t="s">
        <v>36</v>
      </c>
      <c r="B8" s="164">
        <f>'Portage Bill'!B27</f>
        <v>0</v>
      </c>
      <c r="C8" s="165"/>
      <c r="D8" s="165"/>
      <c r="E8" s="147"/>
      <c r="F8" s="147"/>
      <c r="G8" s="147"/>
      <c r="H8" s="155" t="s">
        <v>37</v>
      </c>
      <c r="I8" s="155"/>
      <c r="J8" s="162"/>
      <c r="K8" s="163">
        <f>'Portage Bill'!J78</f>
        <v>0</v>
      </c>
      <c r="L8" s="14"/>
    </row>
    <row r="9" spans="1:12" ht="15" customHeight="1" x14ac:dyDescent="0.4">
      <c r="A9" s="155" t="s">
        <v>38</v>
      </c>
      <c r="B9" s="166" t="str">
        <f>'Portage Bill'!D27</f>
        <v>CCK</v>
      </c>
      <c r="C9" s="165"/>
      <c r="D9" s="147"/>
      <c r="E9" s="147"/>
      <c r="F9" s="147"/>
      <c r="G9" s="147"/>
      <c r="H9" s="155" t="s">
        <v>39</v>
      </c>
      <c r="I9" s="155"/>
      <c r="J9" s="155"/>
      <c r="K9" s="147"/>
      <c r="L9" s="14"/>
    </row>
    <row r="10" spans="1:12" ht="15" customHeight="1" x14ac:dyDescent="0.4">
      <c r="A10" s="155" t="s">
        <v>40</v>
      </c>
      <c r="B10" s="167"/>
      <c r="C10" s="168"/>
      <c r="D10" s="147"/>
      <c r="E10" s="147"/>
      <c r="F10" s="147"/>
      <c r="G10" s="155" t="s">
        <v>41</v>
      </c>
      <c r="H10" s="169"/>
      <c r="I10" s="155" t="s">
        <v>42</v>
      </c>
      <c r="J10" s="316"/>
      <c r="K10" s="171"/>
      <c r="L10" s="14"/>
    </row>
    <row r="11" spans="1:12" ht="15" customHeight="1" x14ac:dyDescent="0.4">
      <c r="A11" s="155"/>
      <c r="B11" s="334"/>
      <c r="C11" s="335"/>
      <c r="D11" s="147"/>
      <c r="E11" s="147"/>
      <c r="F11" s="147"/>
      <c r="G11" s="155"/>
      <c r="H11" s="336"/>
      <c r="I11" s="155"/>
      <c r="J11" s="316"/>
      <c r="K11" s="337"/>
      <c r="L11" s="14"/>
    </row>
    <row r="12" spans="1:12" ht="15" customHeight="1" x14ac:dyDescent="0.4">
      <c r="A12" s="344" t="s">
        <v>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14"/>
    </row>
    <row r="13" spans="1:12" ht="15" customHeight="1" x14ac:dyDescent="0.4">
      <c r="A13" s="346" t="s">
        <v>44</v>
      </c>
      <c r="B13" s="338"/>
      <c r="C13" s="175">
        <f>'Portage Bill'!G2</f>
        <v>41365</v>
      </c>
      <c r="D13" s="347" t="s">
        <v>45</v>
      </c>
      <c r="E13" s="175">
        <f>'Portage Bill'!K2</f>
        <v>41394</v>
      </c>
      <c r="F13" s="348" t="s">
        <v>46</v>
      </c>
      <c r="G13" s="177" t="s">
        <v>114</v>
      </c>
      <c r="H13" s="347" t="s">
        <v>47</v>
      </c>
      <c r="I13" s="178">
        <f>'Portage Bill'!F27</f>
        <v>0</v>
      </c>
      <c r="J13" s="347" t="s">
        <v>43</v>
      </c>
      <c r="K13" s="163">
        <f>'Portage Bill'!G27</f>
        <v>0</v>
      </c>
      <c r="L13" s="14"/>
    </row>
    <row r="14" spans="1:12" ht="15" customHeight="1" x14ac:dyDescent="0.4">
      <c r="A14" s="349" t="s">
        <v>140</v>
      </c>
      <c r="B14" s="350"/>
      <c r="C14" s="43"/>
      <c r="D14" s="43"/>
      <c r="E14" s="43"/>
      <c r="F14" s="351"/>
      <c r="G14" s="8"/>
      <c r="H14" s="43"/>
      <c r="I14" s="352"/>
      <c r="J14" s="353"/>
      <c r="K14" s="49">
        <f>'Portage Bill'!I27</f>
        <v>0</v>
      </c>
      <c r="L14" s="14"/>
    </row>
    <row r="15" spans="1:12" ht="15" customHeight="1" x14ac:dyDescent="0.4">
      <c r="A15" s="349" t="s">
        <v>48</v>
      </c>
      <c r="B15" s="83"/>
      <c r="C15" s="43"/>
      <c r="D15" s="43"/>
      <c r="E15" s="43"/>
      <c r="F15" s="43"/>
      <c r="G15" s="43"/>
      <c r="H15" s="43"/>
      <c r="I15" s="43"/>
      <c r="J15" s="8"/>
      <c r="K15" s="49">
        <f>'Portage Bill'!N27</f>
        <v>0</v>
      </c>
      <c r="L15" s="14"/>
    </row>
    <row r="16" spans="1:12" ht="15" customHeight="1" x14ac:dyDescent="0.4">
      <c r="A16" s="349" t="s">
        <v>49</v>
      </c>
      <c r="B16" s="84"/>
      <c r="C16" s="46" t="s">
        <v>18</v>
      </c>
      <c r="D16" s="43"/>
      <c r="E16" s="43"/>
      <c r="F16" s="43"/>
      <c r="G16" s="43"/>
      <c r="H16" s="43"/>
      <c r="I16" s="43"/>
      <c r="J16" s="8"/>
      <c r="K16" s="49">
        <f>'Portage Bill'!O27</f>
        <v>0</v>
      </c>
      <c r="L16" s="14"/>
    </row>
    <row r="17" spans="1:13" ht="15" customHeight="1" x14ac:dyDescent="0.4">
      <c r="A17" s="349" t="s">
        <v>50</v>
      </c>
      <c r="B17" s="81"/>
      <c r="C17" s="274" t="str">
        <f>'Portage Bill'!L5</f>
        <v>Travelling</v>
      </c>
      <c r="D17" s="43"/>
      <c r="E17" s="43"/>
      <c r="F17" s="43"/>
      <c r="G17" s="43"/>
      <c r="H17" s="43"/>
      <c r="I17" s="43"/>
      <c r="J17" s="8"/>
      <c r="K17" s="49">
        <f>'Portage Bill'!L27</f>
        <v>0</v>
      </c>
      <c r="L17" s="14"/>
    </row>
    <row r="18" spans="1:13" ht="15" customHeight="1" x14ac:dyDescent="0.4">
      <c r="A18" s="351" t="s">
        <v>50</v>
      </c>
      <c r="B18" s="43"/>
      <c r="C18" s="81" t="str">
        <f>'Portage Bill'!J6</f>
        <v>FIDELITY</v>
      </c>
      <c r="D18" s="43"/>
      <c r="E18" s="43"/>
      <c r="F18" s="43"/>
      <c r="G18" s="43"/>
      <c r="H18" s="43"/>
      <c r="I18" s="43"/>
      <c r="J18" s="8"/>
      <c r="K18" s="49">
        <f>'Portage Bill'!J27</f>
        <v>0</v>
      </c>
    </row>
    <row r="19" spans="1:13" ht="15" customHeight="1" x14ac:dyDescent="0.4">
      <c r="A19" s="351" t="s">
        <v>50</v>
      </c>
      <c r="B19" s="43"/>
      <c r="C19" s="82" t="str">
        <f>'Portage Bill'!K5</f>
        <v>ALLOWANCE</v>
      </c>
      <c r="D19" s="43"/>
      <c r="E19" s="43"/>
      <c r="F19" s="43"/>
      <c r="G19" s="43"/>
      <c r="H19" s="43"/>
      <c r="I19" s="43"/>
      <c r="J19" s="8"/>
      <c r="K19" s="50">
        <f>'Portage Bill'!K27</f>
        <v>0</v>
      </c>
    </row>
    <row r="20" spans="1:13" ht="15" customHeight="1" x14ac:dyDescent="0.45">
      <c r="A20" s="354" t="s">
        <v>50</v>
      </c>
      <c r="B20" s="44"/>
      <c r="C20" s="280" t="str">
        <f>'Portage Bill'!P6</f>
        <v>Bonus &amp; Extras</v>
      </c>
      <c r="D20" s="69"/>
      <c r="E20" s="67"/>
      <c r="F20" s="44"/>
      <c r="G20" s="44"/>
      <c r="H20" s="44"/>
      <c r="I20" s="44"/>
      <c r="J20" s="44"/>
      <c r="K20" s="355">
        <f>'Portage Bill'!P27</f>
        <v>0</v>
      </c>
    </row>
    <row r="21" spans="1:13" ht="15" customHeight="1" x14ac:dyDescent="0.4">
      <c r="A21" s="42"/>
      <c r="B21" s="42"/>
      <c r="C21" s="42"/>
      <c r="D21" s="42"/>
      <c r="E21" s="42"/>
      <c r="F21" s="42"/>
      <c r="H21" s="51" t="s">
        <v>51</v>
      </c>
      <c r="I21" s="42"/>
      <c r="J21" s="42"/>
      <c r="K21" s="52">
        <f>SUM(K12:K20)</f>
        <v>0</v>
      </c>
    </row>
    <row r="22" spans="1:13" ht="15" customHeight="1" x14ac:dyDescent="0.4">
      <c r="A22" s="42"/>
      <c r="B22" s="42"/>
      <c r="C22" s="42"/>
      <c r="D22" s="42"/>
      <c r="E22" s="42"/>
      <c r="F22" s="42"/>
      <c r="H22" s="51"/>
      <c r="I22" s="42"/>
      <c r="J22" s="42"/>
      <c r="K22" s="52"/>
    </row>
    <row r="23" spans="1:13" ht="15" customHeight="1" x14ac:dyDescent="0.4">
      <c r="A23" s="339" t="s">
        <v>135</v>
      </c>
      <c r="B23" s="340"/>
      <c r="C23" s="340"/>
      <c r="D23" s="340"/>
      <c r="E23" s="340"/>
      <c r="F23" s="340"/>
      <c r="G23" s="341"/>
      <c r="H23" s="342"/>
      <c r="I23" s="340"/>
      <c r="J23" s="340"/>
      <c r="K23" s="356">
        <f>'Portage Bill'!AB27</f>
        <v>0</v>
      </c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339" t="s">
        <v>138</v>
      </c>
      <c r="B25" s="340"/>
      <c r="C25" s="340"/>
      <c r="D25" s="340"/>
      <c r="E25" s="340"/>
      <c r="F25" s="340"/>
      <c r="G25" s="341"/>
      <c r="H25" s="342"/>
      <c r="I25" s="340"/>
      <c r="J25" s="340"/>
      <c r="K25" s="356">
        <f>'Portage Bill'!AC27</f>
        <v>0</v>
      </c>
    </row>
    <row r="26" spans="1:13" ht="15" customHeight="1" x14ac:dyDescent="0.4">
      <c r="A26" s="363"/>
      <c r="B26" s="8"/>
      <c r="C26" s="8"/>
      <c r="D26" s="8"/>
      <c r="E26" s="8"/>
      <c r="F26" s="8"/>
      <c r="G26" s="1"/>
      <c r="H26" s="364"/>
      <c r="I26" s="8"/>
      <c r="J26" s="8"/>
      <c r="K26" s="365"/>
    </row>
    <row r="27" spans="1:13" ht="15" customHeight="1" x14ac:dyDescent="0.4">
      <c r="A27" s="339"/>
      <c r="B27" s="340"/>
      <c r="C27" s="340"/>
      <c r="D27" s="340"/>
      <c r="E27" s="340"/>
      <c r="F27" s="340"/>
      <c r="G27" s="342" t="s">
        <v>139</v>
      </c>
      <c r="H27" s="342"/>
      <c r="I27" s="340"/>
      <c r="J27" s="340"/>
      <c r="K27" s="356">
        <f>SUM(K21:K26)</f>
        <v>0</v>
      </c>
      <c r="M27" s="42"/>
    </row>
    <row r="28" spans="1:13" ht="15" customHeight="1" x14ac:dyDescent="0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357" t="s">
        <v>52</v>
      </c>
      <c r="B29" s="358"/>
      <c r="C29" s="358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88" t="str">
        <f>'Portage Bill'!X7</f>
        <v>Telecon</v>
      </c>
      <c r="B30" s="8"/>
      <c r="C30" s="62">
        <f>'Portage Bill'!X27</f>
        <v>0</v>
      </c>
      <c r="D30" s="42"/>
      <c r="E30" s="42"/>
      <c r="F30" s="42"/>
      <c r="G30" s="42"/>
      <c r="H30" s="42"/>
      <c r="I30" s="42"/>
      <c r="J30" s="42"/>
      <c r="K30" s="62"/>
      <c r="M30" s="42"/>
    </row>
    <row r="31" spans="1:13" ht="15" customHeight="1" x14ac:dyDescent="0.4">
      <c r="A31" s="351" t="s">
        <v>53</v>
      </c>
      <c r="B31" s="8"/>
      <c r="C31" s="62">
        <f>'Portage Bill'!W27</f>
        <v>0</v>
      </c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351" t="s">
        <v>54</v>
      </c>
      <c r="B32" s="8"/>
      <c r="C32" s="62">
        <f>'Portage Bill'!U27</f>
        <v>0</v>
      </c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351" t="s">
        <v>54</v>
      </c>
      <c r="B33" s="8"/>
      <c r="C33" s="62">
        <f>'Portage Bill'!V27</f>
        <v>0</v>
      </c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351" t="s">
        <v>98</v>
      </c>
      <c r="B34" s="8"/>
      <c r="C34" s="62">
        <f>'Portage Bill'!T27</f>
        <v>0</v>
      </c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351" t="s">
        <v>92</v>
      </c>
      <c r="B35" s="8"/>
      <c r="C35" s="62">
        <f>'Portage Bill'!Y27</f>
        <v>0</v>
      </c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351" t="str">
        <f>'Portage Bill'!R7</f>
        <v>***Leave pay</v>
      </c>
      <c r="B36" s="8"/>
      <c r="C36" s="343">
        <f>'Portage Bill'!R27</f>
        <v>0</v>
      </c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351" t="s">
        <v>55</v>
      </c>
      <c r="B37" s="8"/>
      <c r="C37" s="43"/>
      <c r="D37" s="42"/>
      <c r="E37" s="42"/>
      <c r="F37" s="42"/>
      <c r="G37" s="42"/>
      <c r="H37" s="42"/>
      <c r="I37" s="42"/>
      <c r="J37" s="42"/>
      <c r="K37" s="42"/>
    </row>
    <row r="38" spans="1:13" ht="15" customHeight="1" x14ac:dyDescent="0.4">
      <c r="A38" s="359" t="str">
        <f>'deduct list'!W9</f>
        <v>Accumulated Leave pay</v>
      </c>
      <c r="B38" s="44"/>
      <c r="C38" s="44"/>
      <c r="D38" s="42"/>
      <c r="E38" s="294">
        <f>'deduct list'!W29</f>
        <v>0</v>
      </c>
      <c r="F38" s="42"/>
      <c r="G38" s="42"/>
      <c r="H38" s="45"/>
      <c r="I38" s="42"/>
      <c r="J38" s="42"/>
      <c r="K38" s="50"/>
    </row>
    <row r="39" spans="1:13" ht="15" customHeight="1" x14ac:dyDescent="0.4">
      <c r="A39" s="369" t="s">
        <v>56</v>
      </c>
      <c r="B39" s="18"/>
      <c r="C39" s="371">
        <f>SUM(C30:C38)</f>
        <v>0</v>
      </c>
      <c r="D39" s="147"/>
      <c r="E39" s="147"/>
      <c r="F39" s="147"/>
      <c r="G39" s="179"/>
      <c r="H39" s="179"/>
      <c r="I39" s="179"/>
      <c r="J39" s="179"/>
      <c r="K39" s="360"/>
    </row>
    <row r="40" spans="1:13" ht="15" customHeight="1" x14ac:dyDescent="0.45">
      <c r="A40" s="48"/>
      <c r="B40" s="42"/>
      <c r="C40" s="62"/>
      <c r="D40" s="147"/>
      <c r="E40" s="147"/>
      <c r="F40" s="147"/>
      <c r="G40" s="147"/>
      <c r="H40" s="367" t="s">
        <v>136</v>
      </c>
      <c r="I40" s="75"/>
      <c r="J40" s="75"/>
      <c r="K40" s="370">
        <f>'Portage Bill'!S27</f>
        <v>0</v>
      </c>
    </row>
    <row r="41" spans="1:13" ht="15" customHeight="1" x14ac:dyDescent="0.45">
      <c r="A41" s="48"/>
      <c r="B41" s="42"/>
      <c r="C41" s="368"/>
      <c r="D41" s="147"/>
      <c r="E41" s="147"/>
      <c r="F41" s="147"/>
      <c r="G41" s="147"/>
      <c r="H41" s="367"/>
      <c r="I41" s="75"/>
      <c r="J41" s="75"/>
      <c r="K41" s="361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366" t="s">
        <v>137</v>
      </c>
      <c r="I42" s="362"/>
      <c r="J42" s="75"/>
      <c r="K42" s="366">
        <f>'Portage Bill'!AD27</f>
        <v>0</v>
      </c>
    </row>
    <row r="43" spans="1:13" ht="22.5" customHeight="1" x14ac:dyDescent="0.4">
      <c r="A43" s="155" t="s">
        <v>57</v>
      </c>
      <c r="B43" s="147"/>
      <c r="C43" s="165"/>
      <c r="D43" s="165"/>
      <c r="E43" s="208"/>
      <c r="F43" s="179" t="s">
        <v>58</v>
      </c>
      <c r="G43" s="154"/>
      <c r="H43" s="208"/>
      <c r="I43" s="165"/>
      <c r="J43" s="165"/>
      <c r="K43" s="165"/>
    </row>
    <row r="44" spans="1:13" ht="15" customHeight="1" x14ac:dyDescent="0.4">
      <c r="A44" s="155" t="s">
        <v>59</v>
      </c>
      <c r="B44" s="14"/>
      <c r="C44" s="209"/>
      <c r="D44" s="209"/>
      <c r="E44" s="209"/>
      <c r="F44" s="209"/>
      <c r="G44" s="209"/>
      <c r="H44" s="209"/>
      <c r="I44" s="209"/>
      <c r="J44" s="209"/>
      <c r="K44" s="209"/>
    </row>
    <row r="45" spans="1:13" ht="15" customHeight="1" x14ac:dyDescent="0.4">
      <c r="A45" s="155" t="s">
        <v>60</v>
      </c>
      <c r="B45" s="14"/>
      <c r="C45" s="14"/>
      <c r="D45" s="14"/>
      <c r="E45" s="210"/>
      <c r="F45" s="209"/>
      <c r="G45" s="209"/>
      <c r="H45" s="209"/>
      <c r="I45" s="209"/>
      <c r="J45" s="209"/>
      <c r="K45" s="209"/>
    </row>
    <row r="46" spans="1:13" ht="15" customHeight="1" x14ac:dyDescent="0.4">
      <c r="A46" s="155" t="s">
        <v>61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3" ht="21" customHeight="1" x14ac:dyDescent="0.4">
      <c r="A47" s="211" t="s">
        <v>106</v>
      </c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 t="s">
        <v>62</v>
      </c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1" ht="15" customHeight="1" x14ac:dyDescent="0.4">
      <c r="A49" s="147"/>
      <c r="B49" s="14"/>
      <c r="C49" s="14"/>
      <c r="D49" s="14"/>
      <c r="E49" s="179" t="s">
        <v>30</v>
      </c>
      <c r="F49" s="214"/>
      <c r="G49" s="233">
        <f>'Portage Bill'!K2</f>
        <v>41394</v>
      </c>
      <c r="H49" s="14"/>
      <c r="I49" s="14"/>
      <c r="J49" s="14"/>
      <c r="K49" s="14"/>
    </row>
    <row r="50" spans="1:11" ht="24" customHeight="1" x14ac:dyDescent="0.4">
      <c r="A50" s="43"/>
      <c r="B50" s="53"/>
      <c r="C50" s="53"/>
      <c r="D50" s="53"/>
      <c r="G50" s="1"/>
      <c r="H50" s="53"/>
      <c r="I50" s="53"/>
      <c r="J50" s="53"/>
      <c r="K50" s="53"/>
    </row>
    <row r="51" spans="1:11" ht="15" customHeight="1" x14ac:dyDescent="0.35">
      <c r="A51" s="58" t="s">
        <v>63</v>
      </c>
      <c r="B51" s="56"/>
      <c r="C51" s="56"/>
      <c r="D51" s="56"/>
      <c r="H51" s="59" t="s">
        <v>64</v>
      </c>
      <c r="I51" s="57"/>
      <c r="J51" s="57"/>
      <c r="K51" s="57"/>
    </row>
    <row r="52" spans="1:11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1" ht="17.100000000000001" customHeight="1" x14ac:dyDescent="0.35">
      <c r="J53" s="55" t="s">
        <v>65</v>
      </c>
    </row>
    <row r="54" spans="1:11" ht="17.100000000000001" customHeight="1" x14ac:dyDescent="0.35"/>
  </sheetData>
  <sheetProtection formatCells="0" formatColumns="0" formatRows="0"/>
  <phoneticPr fontId="14" type="noConversion"/>
  <pageMargins left="1" right="0.35433070866141703" top="0.39370078740157499" bottom="0.39370078740157499" header="0.511811023622047" footer="0.511811023622047"/>
  <pageSetup paperSize="9" scale="95" orientation="portrait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view="pageLayout" zoomScaleNormal="112" workbookViewId="0">
      <selection activeCell="C3" sqref="C3"/>
    </sheetView>
  </sheetViews>
  <sheetFormatPr defaultRowHeight="12.75" x14ac:dyDescent="0.35"/>
  <cols>
    <col min="1" max="1" width="10.86328125" customWidth="1"/>
    <col min="2" max="2" width="10.46484375" customWidth="1"/>
    <col min="3" max="3" width="11" customWidth="1"/>
    <col min="4" max="4" width="4.1328125" customWidth="1"/>
    <col min="5" max="5" width="11.53125" customWidth="1"/>
    <col min="6" max="6" width="3.33203125" customWidth="1"/>
    <col min="7" max="7" width="9.86328125" customWidth="1"/>
    <col min="8" max="8" width="7.46484375" customWidth="1"/>
    <col min="10" max="10" width="5.6640625" customWidth="1"/>
    <col min="11" max="11" width="9.1328125" customWidth="1"/>
  </cols>
  <sheetData>
    <row r="1" spans="1:12" ht="13.15" x14ac:dyDescent="0.4">
      <c r="A1" s="147"/>
      <c r="B1" s="147"/>
      <c r="C1" s="147"/>
      <c r="D1" s="147"/>
      <c r="E1" s="147"/>
      <c r="F1" s="147"/>
      <c r="G1" s="147"/>
      <c r="H1" s="147"/>
      <c r="I1" s="148" t="s">
        <v>80</v>
      </c>
      <c r="J1" s="149" t="s">
        <v>82</v>
      </c>
      <c r="K1" s="150" t="s">
        <v>89</v>
      </c>
      <c r="L1" s="14"/>
    </row>
    <row r="2" spans="1:12" ht="13.15" x14ac:dyDescent="0.4">
      <c r="A2" s="147"/>
      <c r="B2" s="147"/>
      <c r="C2" s="147"/>
      <c r="D2" s="147"/>
      <c r="E2" s="147"/>
      <c r="F2" s="147"/>
      <c r="G2" s="147"/>
      <c r="H2" s="147"/>
      <c r="I2" s="148" t="s">
        <v>81</v>
      </c>
      <c r="J2" s="149" t="s">
        <v>82</v>
      </c>
      <c r="K2" s="151" t="s">
        <v>83</v>
      </c>
      <c r="L2" s="14"/>
    </row>
    <row r="3" spans="1:12" ht="19.899999999999999" x14ac:dyDescent="0.5">
      <c r="B3" s="147"/>
      <c r="C3" s="147"/>
      <c r="D3" s="319" t="s">
        <v>32</v>
      </c>
      <c r="E3" s="147"/>
      <c r="F3" s="147"/>
      <c r="G3" s="147"/>
      <c r="H3" s="147"/>
      <c r="I3" s="153"/>
      <c r="J3" s="154"/>
      <c r="K3" s="154"/>
      <c r="L3" s="14"/>
    </row>
    <row r="4" spans="1:12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"/>
    </row>
    <row r="5" spans="1:12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"/>
    </row>
    <row r="6" spans="1:12" ht="15" x14ac:dyDescent="0.4">
      <c r="A6" s="155" t="str">
        <f>'Portage Bill'!B3</f>
        <v xml:space="preserve">Vessel:     </v>
      </c>
      <c r="B6" s="156">
        <f>'Portage Bill'!C3</f>
        <v>0</v>
      </c>
      <c r="C6" s="157"/>
      <c r="D6" s="158"/>
      <c r="E6" s="159"/>
      <c r="F6" s="147"/>
      <c r="G6" s="147"/>
      <c r="H6" s="155" t="s">
        <v>33</v>
      </c>
      <c r="I6" s="155"/>
      <c r="J6" s="160" t="s">
        <v>34</v>
      </c>
      <c r="K6" s="161"/>
      <c r="L6" s="14"/>
    </row>
    <row r="7" spans="1:12" ht="15" customHeight="1" x14ac:dyDescent="0.4">
      <c r="A7" s="147"/>
      <c r="B7" s="147"/>
      <c r="C7" s="147"/>
      <c r="D7" s="147"/>
      <c r="E7" s="147"/>
      <c r="F7" s="147"/>
      <c r="G7" s="147"/>
      <c r="H7" s="155" t="s">
        <v>35</v>
      </c>
      <c r="I7" s="155"/>
      <c r="J7" s="162"/>
      <c r="K7" s="163">
        <f>'Portage Bill'!F79</f>
        <v>0</v>
      </c>
      <c r="L7" s="14"/>
    </row>
    <row r="8" spans="1:12" ht="15" customHeight="1" x14ac:dyDescent="0.4">
      <c r="A8" s="155" t="s">
        <v>36</v>
      </c>
      <c r="B8" s="164">
        <f>'Portage Bill'!B28</f>
        <v>0</v>
      </c>
      <c r="C8" s="165"/>
      <c r="D8" s="165"/>
      <c r="E8" s="147"/>
      <c r="F8" s="147"/>
      <c r="G8" s="147"/>
      <c r="H8" s="155" t="s">
        <v>37</v>
      </c>
      <c r="I8" s="155"/>
      <c r="J8" s="162"/>
      <c r="K8" s="163">
        <f>'Portage Bill'!J79</f>
        <v>0</v>
      </c>
      <c r="L8" s="14"/>
    </row>
    <row r="9" spans="1:12" ht="15" customHeight="1" x14ac:dyDescent="0.4">
      <c r="A9" s="155" t="s">
        <v>38</v>
      </c>
      <c r="B9" s="166" t="str">
        <f>'Portage Bill'!D28</f>
        <v>MBOY</v>
      </c>
      <c r="C9" s="165"/>
      <c r="D9" s="147"/>
      <c r="E9" s="147"/>
      <c r="F9" s="147"/>
      <c r="G9" s="147"/>
      <c r="H9" s="155" t="s">
        <v>39</v>
      </c>
      <c r="I9" s="155"/>
      <c r="J9" s="155"/>
      <c r="K9" s="147"/>
      <c r="L9" s="14"/>
    </row>
    <row r="10" spans="1:12" ht="15" customHeight="1" x14ac:dyDescent="0.4">
      <c r="A10" s="155" t="s">
        <v>40</v>
      </c>
      <c r="B10" s="167"/>
      <c r="C10" s="168"/>
      <c r="D10" s="147"/>
      <c r="E10" s="147"/>
      <c r="F10" s="147"/>
      <c r="G10" s="155" t="s">
        <v>41</v>
      </c>
      <c r="H10" s="169"/>
      <c r="I10" s="155" t="s">
        <v>42</v>
      </c>
      <c r="J10" s="316"/>
      <c r="K10" s="171"/>
      <c r="L10" s="14"/>
    </row>
    <row r="11" spans="1:12" ht="15" customHeight="1" x14ac:dyDescent="0.4">
      <c r="A11" s="155"/>
      <c r="B11" s="334"/>
      <c r="C11" s="335"/>
      <c r="D11" s="147"/>
      <c r="E11" s="147"/>
      <c r="F11" s="147"/>
      <c r="G11" s="155"/>
      <c r="H11" s="336"/>
      <c r="I11" s="155"/>
      <c r="J11" s="316"/>
      <c r="K11" s="337"/>
      <c r="L11" s="14"/>
    </row>
    <row r="12" spans="1:12" ht="15" customHeight="1" x14ac:dyDescent="0.4">
      <c r="A12" s="344" t="s">
        <v>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14"/>
    </row>
    <row r="13" spans="1:12" ht="15" customHeight="1" x14ac:dyDescent="0.4">
      <c r="A13" s="346" t="s">
        <v>44</v>
      </c>
      <c r="B13" s="338"/>
      <c r="C13" s="175">
        <f>'Portage Bill'!G2</f>
        <v>41365</v>
      </c>
      <c r="D13" s="347" t="s">
        <v>45</v>
      </c>
      <c r="E13" s="175">
        <f>'Portage Bill'!K2</f>
        <v>41394</v>
      </c>
      <c r="F13" s="348" t="s">
        <v>46</v>
      </c>
      <c r="G13" s="177" t="s">
        <v>114</v>
      </c>
      <c r="H13" s="347" t="s">
        <v>47</v>
      </c>
      <c r="I13" s="178">
        <f>'Portage Bill'!F28</f>
        <v>0</v>
      </c>
      <c r="J13" s="347" t="s">
        <v>43</v>
      </c>
      <c r="K13" s="163">
        <f>'Portage Bill'!G28</f>
        <v>0</v>
      </c>
      <c r="L13" s="14"/>
    </row>
    <row r="14" spans="1:12" ht="15" customHeight="1" x14ac:dyDescent="0.4">
      <c r="A14" s="349" t="s">
        <v>140</v>
      </c>
      <c r="B14" s="350"/>
      <c r="C14" s="43"/>
      <c r="D14" s="43"/>
      <c r="E14" s="43"/>
      <c r="F14" s="351"/>
      <c r="G14" s="8"/>
      <c r="H14" s="43"/>
      <c r="I14" s="352"/>
      <c r="J14" s="353"/>
      <c r="K14" s="49">
        <f>'Portage Bill'!I28</f>
        <v>0</v>
      </c>
      <c r="L14" s="14"/>
    </row>
    <row r="15" spans="1:12" ht="15" customHeight="1" x14ac:dyDescent="0.4">
      <c r="A15" s="349" t="s">
        <v>48</v>
      </c>
      <c r="B15" s="83"/>
      <c r="C15" s="43"/>
      <c r="D15" s="43"/>
      <c r="E15" s="43"/>
      <c r="F15" s="43"/>
      <c r="G15" s="43"/>
      <c r="H15" s="43"/>
      <c r="I15" s="43"/>
      <c r="J15" s="8"/>
      <c r="K15" s="49">
        <f>'Portage Bill'!N28</f>
        <v>0</v>
      </c>
      <c r="L15" s="14"/>
    </row>
    <row r="16" spans="1:12" ht="15" customHeight="1" x14ac:dyDescent="0.4">
      <c r="A16" s="349" t="s">
        <v>49</v>
      </c>
      <c r="B16" s="84"/>
      <c r="C16" s="46" t="s">
        <v>18</v>
      </c>
      <c r="D16" s="43"/>
      <c r="E16" s="43"/>
      <c r="F16" s="43"/>
      <c r="G16" s="43"/>
      <c r="H16" s="43"/>
      <c r="I16" s="43"/>
      <c r="J16" s="8"/>
      <c r="K16" s="49">
        <f>'Portage Bill'!O28</f>
        <v>0</v>
      </c>
      <c r="L16" s="14"/>
    </row>
    <row r="17" spans="1:13" ht="15" customHeight="1" x14ac:dyDescent="0.4">
      <c r="A17" s="349" t="s">
        <v>50</v>
      </c>
      <c r="B17" s="81"/>
      <c r="C17" s="274" t="str">
        <f>'Portage Bill'!L5</f>
        <v>Travelling</v>
      </c>
      <c r="D17" s="43"/>
      <c r="E17" s="43"/>
      <c r="F17" s="43"/>
      <c r="G17" s="43"/>
      <c r="H17" s="43"/>
      <c r="I17" s="43"/>
      <c r="J17" s="8"/>
      <c r="K17" s="49">
        <f>'Portage Bill'!L28</f>
        <v>0</v>
      </c>
      <c r="L17" s="14"/>
    </row>
    <row r="18" spans="1:13" ht="15" customHeight="1" x14ac:dyDescent="0.4">
      <c r="A18" s="351" t="s">
        <v>50</v>
      </c>
      <c r="B18" s="43"/>
      <c r="C18" s="81" t="str">
        <f>'Portage Bill'!J6</f>
        <v>FIDELITY</v>
      </c>
      <c r="D18" s="43"/>
      <c r="E18" s="43"/>
      <c r="F18" s="43"/>
      <c r="G18" s="43"/>
      <c r="H18" s="43"/>
      <c r="I18" s="43"/>
      <c r="J18" s="8"/>
      <c r="K18" s="49">
        <f>'Portage Bill'!J28</f>
        <v>0</v>
      </c>
    </row>
    <row r="19" spans="1:13" ht="15" customHeight="1" x14ac:dyDescent="0.4">
      <c r="A19" s="351" t="s">
        <v>50</v>
      </c>
      <c r="B19" s="43"/>
      <c r="C19" s="82" t="str">
        <f>'Portage Bill'!K5</f>
        <v>ALLOWANCE</v>
      </c>
      <c r="D19" s="43"/>
      <c r="E19" s="43"/>
      <c r="F19" s="43"/>
      <c r="G19" s="43"/>
      <c r="H19" s="43"/>
      <c r="I19" s="43"/>
      <c r="J19" s="8"/>
      <c r="K19" s="50">
        <f>'Portage Bill'!K28</f>
        <v>0</v>
      </c>
    </row>
    <row r="20" spans="1:13" ht="15" customHeight="1" x14ac:dyDescent="0.45">
      <c r="A20" s="354" t="s">
        <v>50</v>
      </c>
      <c r="B20" s="44"/>
      <c r="C20" s="280" t="str">
        <f>'Portage Bill'!P6</f>
        <v>Bonus &amp; Extras</v>
      </c>
      <c r="D20" s="69"/>
      <c r="E20" s="67"/>
      <c r="F20" s="44"/>
      <c r="G20" s="44"/>
      <c r="H20" s="44"/>
      <c r="I20" s="44"/>
      <c r="J20" s="44"/>
      <c r="K20" s="355">
        <f>'Portage Bill'!P28</f>
        <v>0</v>
      </c>
    </row>
    <row r="21" spans="1:13" ht="15" customHeight="1" x14ac:dyDescent="0.4">
      <c r="A21" s="42"/>
      <c r="B21" s="42"/>
      <c r="C21" s="42"/>
      <c r="D21" s="42"/>
      <c r="E21" s="42"/>
      <c r="F21" s="42"/>
      <c r="H21" s="51" t="s">
        <v>51</v>
      </c>
      <c r="I21" s="42"/>
      <c r="J21" s="42"/>
      <c r="K21" s="52">
        <f>SUM(K12:K20)</f>
        <v>0</v>
      </c>
    </row>
    <row r="22" spans="1:13" ht="15" customHeight="1" x14ac:dyDescent="0.4">
      <c r="A22" s="42"/>
      <c r="B22" s="42"/>
      <c r="C22" s="42"/>
      <c r="D22" s="42"/>
      <c r="E22" s="42"/>
      <c r="F22" s="42"/>
      <c r="H22" s="51"/>
      <c r="I22" s="42"/>
      <c r="J22" s="42"/>
      <c r="K22" s="52"/>
    </row>
    <row r="23" spans="1:13" ht="15" customHeight="1" x14ac:dyDescent="0.4">
      <c r="A23" s="339" t="s">
        <v>135</v>
      </c>
      <c r="B23" s="340"/>
      <c r="C23" s="340"/>
      <c r="D23" s="340"/>
      <c r="E23" s="340"/>
      <c r="F23" s="340"/>
      <c r="G23" s="341"/>
      <c r="H23" s="342"/>
      <c r="I23" s="340"/>
      <c r="J23" s="340"/>
      <c r="K23" s="356">
        <f>'Portage Bill'!AB28</f>
        <v>0</v>
      </c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339" t="s">
        <v>138</v>
      </c>
      <c r="B25" s="340"/>
      <c r="C25" s="340"/>
      <c r="D25" s="340"/>
      <c r="E25" s="340"/>
      <c r="F25" s="340"/>
      <c r="G25" s="341"/>
      <c r="H25" s="342"/>
      <c r="I25" s="340"/>
      <c r="J25" s="340"/>
      <c r="K25" s="356">
        <f>'Portage Bill'!AC28</f>
        <v>0</v>
      </c>
    </row>
    <row r="26" spans="1:13" ht="15" customHeight="1" x14ac:dyDescent="0.4">
      <c r="A26" s="363"/>
      <c r="B26" s="8"/>
      <c r="C26" s="8"/>
      <c r="D26" s="8"/>
      <c r="E26" s="8"/>
      <c r="F26" s="8"/>
      <c r="G26" s="1"/>
      <c r="H26" s="364"/>
      <c r="I26" s="8"/>
      <c r="J26" s="8"/>
      <c r="K26" s="365"/>
    </row>
    <row r="27" spans="1:13" ht="15" customHeight="1" x14ac:dyDescent="0.4">
      <c r="A27" s="339"/>
      <c r="B27" s="340"/>
      <c r="C27" s="340"/>
      <c r="D27" s="340"/>
      <c r="E27" s="340"/>
      <c r="F27" s="340"/>
      <c r="G27" s="342" t="s">
        <v>139</v>
      </c>
      <c r="H27" s="342"/>
      <c r="I27" s="340"/>
      <c r="J27" s="340"/>
      <c r="K27" s="356">
        <f>SUM(K21:K26)</f>
        <v>0</v>
      </c>
      <c r="M27" s="42"/>
    </row>
    <row r="28" spans="1:13" ht="15" customHeight="1" x14ac:dyDescent="0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357" t="s">
        <v>52</v>
      </c>
      <c r="B29" s="358"/>
      <c r="C29" s="358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88" t="str">
        <f>'Portage Bill'!X7</f>
        <v>Telecon</v>
      </c>
      <c r="B30" s="8"/>
      <c r="C30" s="62">
        <f>'Portage Bill'!X28</f>
        <v>0</v>
      </c>
      <c r="D30" s="42"/>
      <c r="E30" s="42"/>
      <c r="F30" s="42"/>
      <c r="G30" s="42"/>
      <c r="H30" s="42"/>
      <c r="I30" s="42"/>
      <c r="J30" s="42"/>
      <c r="K30" s="62"/>
      <c r="M30" s="42"/>
    </row>
    <row r="31" spans="1:13" ht="15" customHeight="1" x14ac:dyDescent="0.4">
      <c r="A31" s="351" t="s">
        <v>53</v>
      </c>
      <c r="B31" s="8"/>
      <c r="C31" s="62">
        <f>'Portage Bill'!W28</f>
        <v>0</v>
      </c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351" t="s">
        <v>54</v>
      </c>
      <c r="B32" s="8"/>
      <c r="C32" s="62">
        <f>'Portage Bill'!U28</f>
        <v>0</v>
      </c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351" t="s">
        <v>54</v>
      </c>
      <c r="B33" s="8"/>
      <c r="C33" s="62">
        <f>'Portage Bill'!V28</f>
        <v>0</v>
      </c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351" t="s">
        <v>98</v>
      </c>
      <c r="B34" s="8"/>
      <c r="C34" s="62">
        <f>'Portage Bill'!T28</f>
        <v>0</v>
      </c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351" t="s">
        <v>92</v>
      </c>
      <c r="B35" s="8"/>
      <c r="C35" s="62">
        <f>'Portage Bill'!Y28</f>
        <v>0</v>
      </c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351" t="str">
        <f>'Portage Bill'!R7</f>
        <v>***Leave pay</v>
      </c>
      <c r="B36" s="8"/>
      <c r="C36" s="343">
        <f>'Portage Bill'!R28</f>
        <v>0</v>
      </c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351" t="s">
        <v>55</v>
      </c>
      <c r="B37" s="8"/>
      <c r="C37" s="43"/>
      <c r="D37" s="42"/>
      <c r="E37" s="42"/>
      <c r="F37" s="42"/>
      <c r="G37" s="42"/>
      <c r="H37" s="42"/>
      <c r="I37" s="42"/>
      <c r="J37" s="42"/>
      <c r="K37" s="42"/>
      <c r="L37" s="14"/>
    </row>
    <row r="38" spans="1:13" ht="13.5" customHeight="1" x14ac:dyDescent="0.4">
      <c r="A38" s="359" t="str">
        <f>'deduct list'!W9</f>
        <v>Accumulated Leave pay</v>
      </c>
      <c r="B38" s="44"/>
      <c r="C38" s="44"/>
      <c r="D38" s="42"/>
      <c r="E38" s="294">
        <f>'deduct list'!W30</f>
        <v>0</v>
      </c>
      <c r="F38" s="42"/>
      <c r="G38" s="42"/>
      <c r="H38" s="45"/>
      <c r="I38" s="42"/>
      <c r="J38" s="42"/>
      <c r="K38" s="50"/>
      <c r="L38" s="14"/>
    </row>
    <row r="39" spans="1:13" ht="15" customHeight="1" x14ac:dyDescent="0.4">
      <c r="A39" s="369" t="s">
        <v>56</v>
      </c>
      <c r="B39" s="18"/>
      <c r="C39" s="371">
        <f>SUM(C30:C38)</f>
        <v>0</v>
      </c>
      <c r="D39" s="147"/>
      <c r="E39" s="147"/>
      <c r="F39" s="147"/>
      <c r="G39" s="179"/>
      <c r="H39" s="179"/>
      <c r="I39" s="179"/>
      <c r="J39" s="179"/>
      <c r="K39" s="360"/>
      <c r="L39" s="14"/>
    </row>
    <row r="40" spans="1:13" ht="15" customHeight="1" x14ac:dyDescent="0.45">
      <c r="A40" s="48"/>
      <c r="B40" s="42"/>
      <c r="C40" s="62"/>
      <c r="D40" s="147"/>
      <c r="E40" s="147"/>
      <c r="F40" s="147"/>
      <c r="G40" s="147"/>
      <c r="H40" s="367" t="s">
        <v>136</v>
      </c>
      <c r="I40" s="75"/>
      <c r="J40" s="75"/>
      <c r="K40" s="370">
        <f>'Portage Bill'!S28</f>
        <v>0</v>
      </c>
      <c r="L40" s="14"/>
    </row>
    <row r="41" spans="1:13" ht="15" customHeight="1" x14ac:dyDescent="0.45">
      <c r="A41" s="48"/>
      <c r="B41" s="42"/>
      <c r="C41" s="368"/>
      <c r="D41" s="147"/>
      <c r="E41" s="147"/>
      <c r="F41" s="147"/>
      <c r="G41" s="147"/>
      <c r="H41" s="367"/>
      <c r="I41" s="75"/>
      <c r="J41" s="75"/>
      <c r="K41" s="361"/>
      <c r="L41" s="14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366" t="s">
        <v>137</v>
      </c>
      <c r="I42" s="362"/>
      <c r="J42" s="75"/>
      <c r="K42" s="366">
        <f>'Portage Bill'!AD28</f>
        <v>0</v>
      </c>
      <c r="L42" s="14"/>
    </row>
    <row r="43" spans="1:13" ht="22.5" customHeight="1" x14ac:dyDescent="0.4">
      <c r="A43" s="155" t="s">
        <v>57</v>
      </c>
      <c r="B43" s="147"/>
      <c r="C43" s="165"/>
      <c r="D43" s="165"/>
      <c r="E43" s="208"/>
      <c r="F43" s="179" t="s">
        <v>58</v>
      </c>
      <c r="G43" s="154"/>
      <c r="H43" s="208"/>
      <c r="I43" s="165"/>
      <c r="J43" s="165"/>
      <c r="K43" s="165"/>
      <c r="L43" s="14"/>
    </row>
    <row r="44" spans="1:13" ht="15" customHeight="1" x14ac:dyDescent="0.4">
      <c r="A44" s="155" t="s">
        <v>59</v>
      </c>
      <c r="B44" s="14"/>
      <c r="C44" s="209"/>
      <c r="D44" s="209"/>
      <c r="E44" s="209"/>
      <c r="F44" s="209"/>
      <c r="G44" s="209"/>
      <c r="H44" s="209"/>
      <c r="I44" s="209"/>
      <c r="J44" s="209"/>
      <c r="K44" s="209"/>
      <c r="L44" s="14"/>
    </row>
    <row r="45" spans="1:13" ht="15" customHeight="1" x14ac:dyDescent="0.4">
      <c r="A45" s="155" t="s">
        <v>60</v>
      </c>
      <c r="B45" s="14"/>
      <c r="C45" s="14"/>
      <c r="D45" s="14"/>
      <c r="E45" s="210"/>
      <c r="F45" s="209"/>
      <c r="G45" s="209"/>
      <c r="H45" s="209"/>
      <c r="I45" s="209"/>
      <c r="J45" s="209"/>
      <c r="K45" s="209"/>
      <c r="L45" s="14"/>
    </row>
    <row r="46" spans="1:13" ht="15" customHeight="1" x14ac:dyDescent="0.4">
      <c r="A46" s="155" t="s">
        <v>61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3" ht="21" customHeight="1" x14ac:dyDescent="0.4">
      <c r="A47" s="211" t="s">
        <v>106</v>
      </c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 t="s">
        <v>62</v>
      </c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2" ht="15" customHeight="1" x14ac:dyDescent="0.4">
      <c r="A49" s="147"/>
      <c r="B49" s="14"/>
      <c r="C49" s="14"/>
      <c r="D49" s="14"/>
      <c r="E49" s="179" t="s">
        <v>30</v>
      </c>
      <c r="F49" s="214"/>
      <c r="G49" s="233">
        <f>'Portage Bill'!K2</f>
        <v>41394</v>
      </c>
      <c r="H49" s="14"/>
      <c r="I49" s="14"/>
      <c r="J49" s="14"/>
      <c r="K49" s="14"/>
      <c r="L49" s="14"/>
    </row>
    <row r="50" spans="1:12" ht="24" customHeight="1" x14ac:dyDescent="0.4">
      <c r="A50" s="43"/>
      <c r="B50" s="53"/>
      <c r="C50" s="53"/>
      <c r="D50" s="53"/>
      <c r="G50" s="1"/>
      <c r="H50" s="53"/>
      <c r="I50" s="53"/>
      <c r="J50" s="53"/>
      <c r="K50" s="53"/>
    </row>
    <row r="51" spans="1:12" ht="15" customHeight="1" x14ac:dyDescent="0.35">
      <c r="A51" s="58" t="s">
        <v>63</v>
      </c>
      <c r="B51" s="56"/>
      <c r="C51" s="56"/>
      <c r="D51" s="56"/>
      <c r="H51" s="59" t="s">
        <v>64</v>
      </c>
      <c r="I51" s="57"/>
      <c r="J51" s="57"/>
      <c r="K51" s="57"/>
    </row>
    <row r="52" spans="1:12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2" ht="17.100000000000001" customHeight="1" x14ac:dyDescent="0.35">
      <c r="J53" s="55" t="s">
        <v>65</v>
      </c>
    </row>
    <row r="54" spans="1:12" ht="17.100000000000001" customHeight="1" x14ac:dyDescent="0.35"/>
  </sheetData>
  <sheetProtection formatCells="0" formatColumns="0" formatRows="0"/>
  <phoneticPr fontId="14" type="noConversion"/>
  <pageMargins left="1.02" right="0.35433070866141703" top="0.39370078740157499" bottom="0.39370078740157499" header="0.511811023622047" footer="0.511811023622047"/>
  <pageSetup paperSize="9" scale="95" orientation="portrait" horizontalDpi="300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view="pageLayout" zoomScaleNormal="106" workbookViewId="0">
      <selection activeCell="A2" sqref="A2:C4"/>
    </sheetView>
  </sheetViews>
  <sheetFormatPr defaultRowHeight="12.75" x14ac:dyDescent="0.35"/>
  <cols>
    <col min="1" max="1" width="10.6640625" customWidth="1"/>
    <col min="2" max="2" width="9.53125" customWidth="1"/>
    <col min="3" max="3" width="12" customWidth="1"/>
    <col min="4" max="4" width="4.1328125" customWidth="1"/>
    <col min="5" max="5" width="11.33203125" customWidth="1"/>
    <col min="6" max="6" width="3.33203125" customWidth="1"/>
    <col min="7" max="7" width="9" customWidth="1"/>
    <col min="8" max="8" width="7.46484375" customWidth="1"/>
    <col min="10" max="10" width="5.86328125" customWidth="1"/>
    <col min="11" max="11" width="9.53125" customWidth="1"/>
  </cols>
  <sheetData>
    <row r="1" spans="1:12" ht="13.15" x14ac:dyDescent="0.4">
      <c r="A1" s="147"/>
      <c r="B1" s="147"/>
      <c r="C1" s="147"/>
      <c r="D1" s="147"/>
      <c r="E1" s="147"/>
      <c r="F1" s="147"/>
      <c r="G1" s="147"/>
      <c r="H1" s="147"/>
      <c r="I1" s="148" t="s">
        <v>80</v>
      </c>
      <c r="J1" s="149" t="s">
        <v>82</v>
      </c>
      <c r="K1" s="150" t="s">
        <v>89</v>
      </c>
      <c r="L1" s="14"/>
    </row>
    <row r="2" spans="1:12" ht="13.15" x14ac:dyDescent="0.4">
      <c r="A2" s="147"/>
      <c r="B2" s="147"/>
      <c r="C2" s="147"/>
      <c r="D2" s="147"/>
      <c r="E2" s="147"/>
      <c r="F2" s="147"/>
      <c r="G2" s="147"/>
      <c r="H2" s="147"/>
      <c r="I2" s="148" t="s">
        <v>81</v>
      </c>
      <c r="J2" s="149" t="s">
        <v>82</v>
      </c>
      <c r="K2" s="151" t="s">
        <v>83</v>
      </c>
      <c r="L2" s="14"/>
    </row>
    <row r="3" spans="1:12" ht="19.899999999999999" x14ac:dyDescent="0.5">
      <c r="A3" s="147"/>
      <c r="B3" s="147"/>
      <c r="C3" s="147"/>
      <c r="D3" s="319" t="s">
        <v>32</v>
      </c>
      <c r="E3" s="147"/>
      <c r="F3" s="147"/>
      <c r="G3" s="147"/>
      <c r="H3" s="147"/>
      <c r="I3" s="153"/>
      <c r="J3" s="154"/>
      <c r="K3" s="154"/>
      <c r="L3" s="14"/>
    </row>
    <row r="4" spans="1:12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"/>
    </row>
    <row r="5" spans="1:12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"/>
    </row>
    <row r="6" spans="1:12" ht="15" x14ac:dyDescent="0.4">
      <c r="A6" s="155" t="str">
        <f>'Portage Bill'!B3</f>
        <v xml:space="preserve">Vessel:     </v>
      </c>
      <c r="B6" s="156">
        <f>'Portage Bill'!C3</f>
        <v>0</v>
      </c>
      <c r="C6" s="157"/>
      <c r="D6" s="158"/>
      <c r="E6" s="159"/>
      <c r="F6" s="147"/>
      <c r="G6" s="147"/>
      <c r="H6" s="155" t="s">
        <v>33</v>
      </c>
      <c r="I6" s="155"/>
      <c r="J6" s="160" t="s">
        <v>34</v>
      </c>
      <c r="K6" s="161"/>
      <c r="L6" s="14"/>
    </row>
    <row r="7" spans="1:12" ht="15" customHeight="1" x14ac:dyDescent="0.4">
      <c r="A7" s="147"/>
      <c r="B7" s="147"/>
      <c r="C7" s="147"/>
      <c r="D7" s="147"/>
      <c r="E7" s="147"/>
      <c r="F7" s="147"/>
      <c r="G7" s="147"/>
      <c r="H7" s="155" t="s">
        <v>35</v>
      </c>
      <c r="I7" s="155"/>
      <c r="J7" s="162"/>
      <c r="K7" s="163">
        <f>'Portage Bill'!F80</f>
        <v>0</v>
      </c>
      <c r="L7" s="14"/>
    </row>
    <row r="8" spans="1:12" ht="15" customHeight="1" x14ac:dyDescent="0.4">
      <c r="A8" s="155" t="s">
        <v>36</v>
      </c>
      <c r="B8" s="164">
        <f>'Portage Bill'!B29</f>
        <v>0</v>
      </c>
      <c r="C8" s="165"/>
      <c r="D8" s="165"/>
      <c r="E8" s="147"/>
      <c r="F8" s="147"/>
      <c r="G8" s="147"/>
      <c r="H8" s="155" t="s">
        <v>37</v>
      </c>
      <c r="I8" s="155"/>
      <c r="J8" s="162"/>
      <c r="K8" s="163">
        <f>'Portage Bill'!J80</f>
        <v>0</v>
      </c>
      <c r="L8" s="14"/>
    </row>
    <row r="9" spans="1:12" ht="15" customHeight="1" x14ac:dyDescent="0.4">
      <c r="A9" s="155" t="s">
        <v>38</v>
      </c>
      <c r="B9" s="166" t="str">
        <f>'Portage Bill'!D29</f>
        <v>Deck Fitter</v>
      </c>
      <c r="C9" s="165"/>
      <c r="D9" s="147"/>
      <c r="E9" s="147"/>
      <c r="F9" s="147"/>
      <c r="G9" s="147"/>
      <c r="H9" s="155" t="s">
        <v>39</v>
      </c>
      <c r="I9" s="155"/>
      <c r="J9" s="155"/>
      <c r="K9" s="147"/>
      <c r="L9" s="14"/>
    </row>
    <row r="10" spans="1:12" ht="15" customHeight="1" x14ac:dyDescent="0.4">
      <c r="A10" s="155" t="s">
        <v>40</v>
      </c>
      <c r="B10" s="167"/>
      <c r="C10" s="168"/>
      <c r="D10" s="147"/>
      <c r="E10" s="147"/>
      <c r="F10" s="147"/>
      <c r="G10" s="155" t="s">
        <v>41</v>
      </c>
      <c r="H10" s="169"/>
      <c r="I10" s="155" t="s">
        <v>42</v>
      </c>
      <c r="J10" s="316"/>
      <c r="K10" s="171"/>
      <c r="L10" s="14"/>
    </row>
    <row r="11" spans="1:12" ht="15" customHeight="1" x14ac:dyDescent="0.4">
      <c r="A11" s="155"/>
      <c r="B11" s="334"/>
      <c r="C11" s="335"/>
      <c r="D11" s="147"/>
      <c r="E11" s="147"/>
      <c r="F11" s="147"/>
      <c r="G11" s="155"/>
      <c r="H11" s="336"/>
      <c r="I11" s="155"/>
      <c r="J11" s="316"/>
      <c r="K11" s="337"/>
      <c r="L11" s="14"/>
    </row>
    <row r="12" spans="1:12" ht="15" customHeight="1" x14ac:dyDescent="0.4">
      <c r="A12" s="344" t="s">
        <v>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14"/>
    </row>
    <row r="13" spans="1:12" ht="15" customHeight="1" x14ac:dyDescent="0.4">
      <c r="A13" s="346" t="s">
        <v>44</v>
      </c>
      <c r="B13" s="338"/>
      <c r="C13" s="175">
        <f>'Portage Bill'!G2</f>
        <v>41365</v>
      </c>
      <c r="D13" s="347" t="s">
        <v>45</v>
      </c>
      <c r="E13" s="175">
        <f>'Portage Bill'!K2</f>
        <v>41394</v>
      </c>
      <c r="F13" s="348" t="s">
        <v>46</v>
      </c>
      <c r="G13" s="177" t="s">
        <v>114</v>
      </c>
      <c r="H13" s="347" t="s">
        <v>47</v>
      </c>
      <c r="I13" s="178">
        <f>'Portage Bill'!F29</f>
        <v>0</v>
      </c>
      <c r="J13" s="347" t="s">
        <v>43</v>
      </c>
      <c r="K13" s="163">
        <f>'Portage Bill'!G29</f>
        <v>0</v>
      </c>
      <c r="L13" s="14"/>
    </row>
    <row r="14" spans="1:12" ht="15" customHeight="1" x14ac:dyDescent="0.4">
      <c r="A14" s="349" t="s">
        <v>140</v>
      </c>
      <c r="B14" s="350"/>
      <c r="C14" s="43"/>
      <c r="D14" s="43"/>
      <c r="E14" s="43"/>
      <c r="F14" s="351"/>
      <c r="G14" s="8"/>
      <c r="H14" s="43"/>
      <c r="I14" s="352"/>
      <c r="J14" s="353"/>
      <c r="K14" s="49">
        <f>'Portage Bill'!I29</f>
        <v>0</v>
      </c>
      <c r="L14" s="14"/>
    </row>
    <row r="15" spans="1:12" ht="15" customHeight="1" x14ac:dyDescent="0.4">
      <c r="A15" s="349" t="s">
        <v>48</v>
      </c>
      <c r="B15" s="83"/>
      <c r="C15" s="43"/>
      <c r="D15" s="43"/>
      <c r="E15" s="43"/>
      <c r="F15" s="43"/>
      <c r="G15" s="43"/>
      <c r="H15" s="43"/>
      <c r="I15" s="43"/>
      <c r="J15" s="8"/>
      <c r="K15" s="49">
        <f>'Portage Bill'!N29</f>
        <v>0</v>
      </c>
      <c r="L15" s="14"/>
    </row>
    <row r="16" spans="1:12" ht="15" customHeight="1" x14ac:dyDescent="0.4">
      <c r="A16" s="349" t="s">
        <v>49</v>
      </c>
      <c r="B16" s="84"/>
      <c r="C16" s="46" t="s">
        <v>18</v>
      </c>
      <c r="D16" s="43"/>
      <c r="E16" s="43"/>
      <c r="F16" s="43"/>
      <c r="G16" s="43"/>
      <c r="H16" s="43"/>
      <c r="I16" s="43"/>
      <c r="J16" s="8"/>
      <c r="K16" s="49">
        <f>'Portage Bill'!O29</f>
        <v>0</v>
      </c>
      <c r="L16" s="14"/>
    </row>
    <row r="17" spans="1:13" ht="15" customHeight="1" x14ac:dyDescent="0.4">
      <c r="A17" s="349" t="s">
        <v>50</v>
      </c>
      <c r="B17" s="81"/>
      <c r="C17" s="274" t="str">
        <f>'Portage Bill'!L5</f>
        <v>Travelling</v>
      </c>
      <c r="D17" s="43"/>
      <c r="E17" s="43"/>
      <c r="F17" s="43"/>
      <c r="G17" s="43"/>
      <c r="H17" s="43"/>
      <c r="I17" s="43"/>
      <c r="J17" s="8"/>
      <c r="K17" s="49">
        <f>'Portage Bill'!L29</f>
        <v>0</v>
      </c>
      <c r="L17" s="14"/>
    </row>
    <row r="18" spans="1:13" ht="15" customHeight="1" x14ac:dyDescent="0.4">
      <c r="A18" s="351" t="s">
        <v>50</v>
      </c>
      <c r="B18" s="43"/>
      <c r="C18" s="81" t="str">
        <f>'Portage Bill'!J6</f>
        <v>FIDELITY</v>
      </c>
      <c r="D18" s="43"/>
      <c r="E18" s="43"/>
      <c r="F18" s="43"/>
      <c r="G18" s="43"/>
      <c r="H18" s="43"/>
      <c r="I18" s="43"/>
      <c r="J18" s="8"/>
      <c r="K18" s="49">
        <f>'Portage Bill'!J29</f>
        <v>0</v>
      </c>
    </row>
    <row r="19" spans="1:13" ht="15" customHeight="1" x14ac:dyDescent="0.4">
      <c r="A19" s="351" t="s">
        <v>50</v>
      </c>
      <c r="B19" s="43"/>
      <c r="C19" s="82" t="str">
        <f>'Portage Bill'!K5</f>
        <v>ALLOWANCE</v>
      </c>
      <c r="D19" s="43"/>
      <c r="E19" s="43"/>
      <c r="F19" s="43"/>
      <c r="G19" s="43"/>
      <c r="H19" s="43"/>
      <c r="I19" s="43"/>
      <c r="J19" s="8"/>
      <c r="K19" s="50">
        <f>'Portage Bill'!K29</f>
        <v>0</v>
      </c>
    </row>
    <row r="20" spans="1:13" ht="15" customHeight="1" x14ac:dyDescent="0.45">
      <c r="A20" s="354" t="s">
        <v>50</v>
      </c>
      <c r="B20" s="44"/>
      <c r="C20" s="280" t="str">
        <f>'Portage Bill'!P6</f>
        <v>Bonus &amp; Extras</v>
      </c>
      <c r="D20" s="69"/>
      <c r="E20" s="67"/>
      <c r="F20" s="44"/>
      <c r="G20" s="44"/>
      <c r="H20" s="44"/>
      <c r="I20" s="44"/>
      <c r="J20" s="44"/>
      <c r="K20" s="355">
        <f>'Portage Bill'!P29</f>
        <v>0</v>
      </c>
    </row>
    <row r="21" spans="1:13" ht="15" customHeight="1" x14ac:dyDescent="0.4">
      <c r="A21" s="42"/>
      <c r="B21" s="42"/>
      <c r="C21" s="42"/>
      <c r="D21" s="42"/>
      <c r="E21" s="42"/>
      <c r="F21" s="42"/>
      <c r="H21" s="51" t="s">
        <v>51</v>
      </c>
      <c r="I21" s="42"/>
      <c r="J21" s="42"/>
      <c r="K21" s="52">
        <f>SUM(K12:K20)</f>
        <v>0</v>
      </c>
    </row>
    <row r="22" spans="1:13" ht="15" customHeight="1" x14ac:dyDescent="0.4">
      <c r="A22" s="42"/>
      <c r="B22" s="42"/>
      <c r="C22" s="42"/>
      <c r="D22" s="42"/>
      <c r="E22" s="42"/>
      <c r="F22" s="42"/>
      <c r="H22" s="51"/>
      <c r="I22" s="42"/>
      <c r="J22" s="42"/>
      <c r="K22" s="52"/>
    </row>
    <row r="23" spans="1:13" ht="15" customHeight="1" x14ac:dyDescent="0.4">
      <c r="A23" s="339" t="s">
        <v>135</v>
      </c>
      <c r="B23" s="340"/>
      <c r="C23" s="340"/>
      <c r="D23" s="340"/>
      <c r="E23" s="340"/>
      <c r="F23" s="340"/>
      <c r="G23" s="341"/>
      <c r="H23" s="342"/>
      <c r="I23" s="340"/>
      <c r="J23" s="340"/>
      <c r="K23" s="356">
        <f>'Portage Bill'!AB29</f>
        <v>0</v>
      </c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339" t="s">
        <v>138</v>
      </c>
      <c r="B25" s="340"/>
      <c r="C25" s="340"/>
      <c r="D25" s="340"/>
      <c r="E25" s="340"/>
      <c r="F25" s="340"/>
      <c r="G25" s="341"/>
      <c r="H25" s="342"/>
      <c r="I25" s="340"/>
      <c r="J25" s="340"/>
      <c r="K25" s="356">
        <f>'Portage Bill'!AC29</f>
        <v>0</v>
      </c>
    </row>
    <row r="26" spans="1:13" ht="15" customHeight="1" x14ac:dyDescent="0.4">
      <c r="A26" s="363"/>
      <c r="B26" s="8"/>
      <c r="C26" s="8"/>
      <c r="D26" s="8"/>
      <c r="E26" s="8"/>
      <c r="F26" s="8"/>
      <c r="G26" s="1"/>
      <c r="H26" s="364"/>
      <c r="I26" s="8"/>
      <c r="J26" s="8"/>
      <c r="K26" s="365"/>
    </row>
    <row r="27" spans="1:13" ht="15" customHeight="1" x14ac:dyDescent="0.4">
      <c r="A27" s="339"/>
      <c r="B27" s="340"/>
      <c r="C27" s="340"/>
      <c r="D27" s="340"/>
      <c r="E27" s="340"/>
      <c r="F27" s="340"/>
      <c r="G27" s="342" t="s">
        <v>139</v>
      </c>
      <c r="H27" s="342"/>
      <c r="I27" s="340"/>
      <c r="J27" s="340"/>
      <c r="K27" s="356">
        <f>SUM(K21:K26)</f>
        <v>0</v>
      </c>
      <c r="M27" s="42"/>
    </row>
    <row r="28" spans="1:13" ht="15" customHeight="1" x14ac:dyDescent="0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357" t="s">
        <v>52</v>
      </c>
      <c r="B29" s="358"/>
      <c r="C29" s="358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88" t="str">
        <f>'Portage Bill'!X7</f>
        <v>Telecon</v>
      </c>
      <c r="B30" s="8"/>
      <c r="C30" s="62">
        <f>'Portage Bill'!X29</f>
        <v>0</v>
      </c>
      <c r="D30" s="42"/>
      <c r="E30" s="42"/>
      <c r="F30" s="42"/>
      <c r="G30" s="42"/>
      <c r="H30" s="42"/>
      <c r="I30" s="42"/>
      <c r="J30" s="42"/>
      <c r="K30" s="62"/>
      <c r="M30" s="42"/>
    </row>
    <row r="31" spans="1:13" ht="15" customHeight="1" x14ac:dyDescent="0.4">
      <c r="A31" s="351" t="s">
        <v>53</v>
      </c>
      <c r="B31" s="8"/>
      <c r="C31" s="62">
        <f>'Portage Bill'!W29</f>
        <v>0</v>
      </c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351" t="s">
        <v>54</v>
      </c>
      <c r="B32" s="8"/>
      <c r="C32" s="62">
        <f>'Portage Bill'!U29</f>
        <v>0</v>
      </c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351" t="s">
        <v>54</v>
      </c>
      <c r="B33" s="8"/>
      <c r="C33" s="62">
        <f>'Portage Bill'!V29</f>
        <v>0</v>
      </c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351" t="s">
        <v>98</v>
      </c>
      <c r="B34" s="8"/>
      <c r="C34" s="62">
        <f>'Portage Bill'!T29</f>
        <v>0</v>
      </c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351" t="s">
        <v>92</v>
      </c>
      <c r="B35" s="8"/>
      <c r="C35" s="62">
        <f>'Portage Bill'!Y29</f>
        <v>0</v>
      </c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351" t="str">
        <f>'Portage Bill'!R7</f>
        <v>***Leave pay</v>
      </c>
      <c r="B36" s="8"/>
      <c r="C36" s="343">
        <f>'Portage Bill'!R29</f>
        <v>0</v>
      </c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351" t="s">
        <v>55</v>
      </c>
      <c r="B37" s="8"/>
      <c r="C37" s="43"/>
      <c r="D37" s="42"/>
      <c r="E37" s="42"/>
      <c r="F37" s="42"/>
      <c r="G37" s="42"/>
      <c r="H37" s="42"/>
      <c r="I37" s="42"/>
      <c r="J37" s="42"/>
      <c r="K37" s="42"/>
    </row>
    <row r="38" spans="1:13" ht="16.5" customHeight="1" x14ac:dyDescent="0.4">
      <c r="A38" s="359" t="str">
        <f>'deduct list'!W9</f>
        <v>Accumulated Leave pay</v>
      </c>
      <c r="B38" s="44"/>
      <c r="C38" s="44"/>
      <c r="D38" s="42"/>
      <c r="E38" s="294">
        <f>'deduct list'!W31</f>
        <v>0</v>
      </c>
      <c r="F38" s="42"/>
      <c r="G38" s="42"/>
      <c r="H38" s="45"/>
      <c r="I38" s="42"/>
      <c r="J38" s="42"/>
      <c r="K38" s="50"/>
    </row>
    <row r="39" spans="1:13" ht="15" customHeight="1" x14ac:dyDescent="0.4">
      <c r="A39" s="369" t="s">
        <v>56</v>
      </c>
      <c r="B39" s="18"/>
      <c r="C39" s="371">
        <f>SUM(C30:C38)</f>
        <v>0</v>
      </c>
      <c r="D39" s="147"/>
      <c r="E39" s="147"/>
      <c r="F39" s="147"/>
      <c r="G39" s="179"/>
      <c r="H39" s="179"/>
      <c r="I39" s="179"/>
      <c r="J39" s="179"/>
      <c r="K39" s="360"/>
    </row>
    <row r="40" spans="1:13" ht="15" customHeight="1" x14ac:dyDescent="0.45">
      <c r="A40" s="48"/>
      <c r="B40" s="42"/>
      <c r="C40" s="62"/>
      <c r="D40" s="147"/>
      <c r="E40" s="147"/>
      <c r="F40" s="147"/>
      <c r="G40" s="147"/>
      <c r="H40" s="367" t="s">
        <v>136</v>
      </c>
      <c r="I40" s="75"/>
      <c r="J40" s="75"/>
      <c r="K40" s="370">
        <f>'Portage Bill'!S29</f>
        <v>0</v>
      </c>
    </row>
    <row r="41" spans="1:13" ht="15" customHeight="1" x14ac:dyDescent="0.45">
      <c r="A41" s="48"/>
      <c r="B41" s="42"/>
      <c r="C41" s="368"/>
      <c r="D41" s="147"/>
      <c r="E41" s="147"/>
      <c r="F41" s="147"/>
      <c r="G41" s="147"/>
      <c r="H41" s="367"/>
      <c r="I41" s="75"/>
      <c r="J41" s="75"/>
      <c r="K41" s="361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366" t="s">
        <v>137</v>
      </c>
      <c r="I42" s="362"/>
      <c r="J42" s="75"/>
      <c r="K42" s="366">
        <f>'Portage Bill'!AD29</f>
        <v>0</v>
      </c>
    </row>
    <row r="43" spans="1:13" ht="22.5" customHeight="1" x14ac:dyDescent="0.4">
      <c r="A43" s="155" t="s">
        <v>57</v>
      </c>
      <c r="B43" s="147"/>
      <c r="C43" s="165"/>
      <c r="D43" s="165"/>
      <c r="E43" s="208"/>
      <c r="F43" s="179" t="s">
        <v>58</v>
      </c>
      <c r="G43" s="154"/>
      <c r="H43" s="208"/>
      <c r="I43" s="165"/>
      <c r="J43" s="165"/>
      <c r="K43" s="165"/>
    </row>
    <row r="44" spans="1:13" ht="15" customHeight="1" x14ac:dyDescent="0.4">
      <c r="A44" s="155" t="s">
        <v>59</v>
      </c>
      <c r="B44" s="14"/>
      <c r="C44" s="209"/>
      <c r="D44" s="209"/>
      <c r="E44" s="209"/>
      <c r="F44" s="209"/>
      <c r="G44" s="209"/>
      <c r="H44" s="209"/>
      <c r="I44" s="209"/>
      <c r="J44" s="209"/>
      <c r="K44" s="209"/>
    </row>
    <row r="45" spans="1:13" ht="15" customHeight="1" x14ac:dyDescent="0.4">
      <c r="A45" s="155" t="s">
        <v>60</v>
      </c>
      <c r="B45" s="14"/>
      <c r="C45" s="14"/>
      <c r="D45" s="14"/>
      <c r="E45" s="210"/>
      <c r="F45" s="209"/>
      <c r="G45" s="209"/>
      <c r="H45" s="209"/>
      <c r="I45" s="209"/>
      <c r="J45" s="209"/>
      <c r="K45" s="209"/>
    </row>
    <row r="46" spans="1:13" ht="15" customHeight="1" x14ac:dyDescent="0.4">
      <c r="A46" s="155" t="s">
        <v>61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3" ht="21" customHeight="1" x14ac:dyDescent="0.4">
      <c r="A47" s="211" t="s">
        <v>106</v>
      </c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 t="s">
        <v>62</v>
      </c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1" ht="15" customHeight="1" x14ac:dyDescent="0.4">
      <c r="A49" s="147"/>
      <c r="B49" s="14"/>
      <c r="C49" s="14"/>
      <c r="D49" s="14"/>
      <c r="E49" s="179" t="s">
        <v>30</v>
      </c>
      <c r="F49" s="214"/>
      <c r="G49" s="233">
        <f>'Portage Bill'!K2</f>
        <v>41394</v>
      </c>
      <c r="H49" s="14"/>
      <c r="I49" s="14"/>
      <c r="J49" s="14"/>
      <c r="K49" s="14"/>
    </row>
    <row r="50" spans="1:11" ht="24" customHeight="1" x14ac:dyDescent="0.4">
      <c r="A50" s="43"/>
      <c r="B50" s="53"/>
      <c r="C50" s="53"/>
      <c r="D50" s="53"/>
      <c r="G50" s="1"/>
      <c r="H50" s="53"/>
      <c r="I50" s="53"/>
      <c r="J50" s="53"/>
      <c r="K50" s="53"/>
    </row>
    <row r="51" spans="1:11" ht="15" customHeight="1" x14ac:dyDescent="0.35">
      <c r="A51" s="58" t="s">
        <v>63</v>
      </c>
      <c r="B51" s="56"/>
      <c r="C51" s="56"/>
      <c r="D51" s="56"/>
      <c r="H51" s="59" t="s">
        <v>64</v>
      </c>
      <c r="I51" s="57"/>
      <c r="J51" s="57"/>
      <c r="K51" s="57"/>
    </row>
    <row r="52" spans="1:11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1" ht="17.100000000000001" customHeight="1" x14ac:dyDescent="0.35">
      <c r="J53" s="55" t="s">
        <v>65</v>
      </c>
    </row>
    <row r="54" spans="1:11" ht="17.100000000000001" customHeight="1" x14ac:dyDescent="0.35"/>
  </sheetData>
  <sheetProtection formatCells="0" formatColumns="0" formatRows="0"/>
  <phoneticPr fontId="59" type="noConversion"/>
  <pageMargins left="1.29" right="0.13" top="0.27" bottom="0.48" header="0.3" footer="0.5"/>
  <pageSetup paperSize="9" scale="95" orientation="portrait" horizontalDpi="300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view="pageLayout" zoomScaleNormal="100" workbookViewId="0">
      <selection sqref="A1:C4"/>
    </sheetView>
  </sheetViews>
  <sheetFormatPr defaultRowHeight="12.75" x14ac:dyDescent="0.35"/>
  <cols>
    <col min="1" max="1" width="11.46484375" customWidth="1"/>
    <col min="2" max="2" width="9.46484375" customWidth="1"/>
    <col min="3" max="3" width="11.6640625" customWidth="1"/>
    <col min="4" max="4" width="4.1328125" customWidth="1"/>
    <col min="5" max="5" width="11.86328125" customWidth="1"/>
    <col min="6" max="6" width="3.33203125" customWidth="1"/>
    <col min="7" max="7" width="6.46484375" customWidth="1"/>
    <col min="8" max="8" width="7.46484375" customWidth="1"/>
    <col min="10" max="10" width="9" customWidth="1"/>
    <col min="11" max="11" width="8.53125" customWidth="1"/>
  </cols>
  <sheetData>
    <row r="1" spans="1:12" ht="13.15" x14ac:dyDescent="0.4">
      <c r="A1" s="147"/>
      <c r="B1" s="147"/>
      <c r="C1" s="147"/>
      <c r="D1" s="147"/>
      <c r="E1" s="147"/>
      <c r="F1" s="147"/>
      <c r="G1" s="147"/>
      <c r="H1" s="147"/>
      <c r="I1" s="148" t="s">
        <v>80</v>
      </c>
      <c r="J1" s="149" t="s">
        <v>82</v>
      </c>
      <c r="K1" s="150" t="s">
        <v>89</v>
      </c>
      <c r="L1" s="14"/>
    </row>
    <row r="2" spans="1:12" ht="13.15" x14ac:dyDescent="0.4">
      <c r="A2" s="147"/>
      <c r="B2" s="147"/>
      <c r="C2" s="147"/>
      <c r="D2" s="147"/>
      <c r="E2" s="147"/>
      <c r="F2" s="147"/>
      <c r="G2" s="147"/>
      <c r="H2" s="147"/>
      <c r="I2" s="148" t="s">
        <v>81</v>
      </c>
      <c r="J2" s="149" t="s">
        <v>82</v>
      </c>
      <c r="K2" s="151" t="s">
        <v>83</v>
      </c>
      <c r="L2" s="14"/>
    </row>
    <row r="3" spans="1:12" ht="19.899999999999999" x14ac:dyDescent="0.5">
      <c r="A3" s="147"/>
      <c r="B3" s="147"/>
      <c r="C3" s="147"/>
      <c r="D3" s="319" t="s">
        <v>32</v>
      </c>
      <c r="E3" s="147"/>
      <c r="F3" s="147"/>
      <c r="G3" s="147"/>
      <c r="H3" s="147"/>
      <c r="I3" s="153"/>
      <c r="J3" s="154"/>
      <c r="K3" s="154"/>
      <c r="L3" s="14"/>
    </row>
    <row r="4" spans="1:12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"/>
    </row>
    <row r="5" spans="1:12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"/>
    </row>
    <row r="6" spans="1:12" ht="15" x14ac:dyDescent="0.4">
      <c r="A6" s="155" t="str">
        <f>'Portage Bill'!B3</f>
        <v xml:space="preserve">Vessel:     </v>
      </c>
      <c r="B6" s="156">
        <f>'Portage Bill'!C3</f>
        <v>0</v>
      </c>
      <c r="C6" s="157"/>
      <c r="D6" s="158"/>
      <c r="E6" s="159"/>
      <c r="F6" s="147"/>
      <c r="G6" s="147"/>
      <c r="H6" s="155" t="s">
        <v>33</v>
      </c>
      <c r="I6" s="155"/>
      <c r="J6" s="160" t="s">
        <v>34</v>
      </c>
      <c r="K6" s="161"/>
      <c r="L6" s="14"/>
    </row>
    <row r="7" spans="1:12" ht="15" customHeight="1" x14ac:dyDescent="0.4">
      <c r="A7" s="147"/>
      <c r="B7" s="147"/>
      <c r="C7" s="147"/>
      <c r="D7" s="147"/>
      <c r="E7" s="147"/>
      <c r="F7" s="147"/>
      <c r="G7" s="147"/>
      <c r="H7" s="155" t="s">
        <v>35</v>
      </c>
      <c r="I7" s="155"/>
      <c r="J7" s="162"/>
      <c r="K7" s="163">
        <f>'Portage Bill'!F81</f>
        <v>0</v>
      </c>
      <c r="L7" s="14"/>
    </row>
    <row r="8" spans="1:12" ht="15" customHeight="1" x14ac:dyDescent="0.4">
      <c r="A8" s="155" t="s">
        <v>36</v>
      </c>
      <c r="B8" s="164">
        <f>'Portage Bill'!B30</f>
        <v>0</v>
      </c>
      <c r="C8" s="165"/>
      <c r="D8" s="165"/>
      <c r="E8" s="147"/>
      <c r="F8" s="147"/>
      <c r="G8" s="147"/>
      <c r="H8" s="155" t="s">
        <v>37</v>
      </c>
      <c r="I8" s="155"/>
      <c r="J8" s="162"/>
      <c r="K8" s="163">
        <f>'Portage Bill'!J81</f>
        <v>0</v>
      </c>
      <c r="L8" s="14"/>
    </row>
    <row r="9" spans="1:12" ht="15" customHeight="1" x14ac:dyDescent="0.4">
      <c r="A9" s="155" t="s">
        <v>38</v>
      </c>
      <c r="B9" s="166" t="str">
        <f>'Portage Bill'!D30</f>
        <v>Engine Fitter</v>
      </c>
      <c r="C9" s="165"/>
      <c r="D9" s="147"/>
      <c r="E9" s="147"/>
      <c r="F9" s="147"/>
      <c r="G9" s="147"/>
      <c r="H9" s="155" t="s">
        <v>39</v>
      </c>
      <c r="I9" s="155"/>
      <c r="J9" s="155"/>
      <c r="K9" s="147"/>
      <c r="L9" s="14"/>
    </row>
    <row r="10" spans="1:12" ht="15" customHeight="1" x14ac:dyDescent="0.4">
      <c r="A10" s="155" t="s">
        <v>40</v>
      </c>
      <c r="B10" s="167"/>
      <c r="C10" s="168"/>
      <c r="D10" s="147"/>
      <c r="E10" s="147"/>
      <c r="F10" s="147"/>
      <c r="G10" s="155" t="s">
        <v>41</v>
      </c>
      <c r="H10" s="169"/>
      <c r="I10" s="155" t="s">
        <v>42</v>
      </c>
      <c r="J10" s="316"/>
      <c r="K10" s="171"/>
      <c r="L10" s="14"/>
    </row>
    <row r="11" spans="1:12" ht="15" customHeight="1" x14ac:dyDescent="0.4">
      <c r="A11" s="155"/>
      <c r="B11" s="334"/>
      <c r="C11" s="335"/>
      <c r="D11" s="147"/>
      <c r="E11" s="147"/>
      <c r="F11" s="147"/>
      <c r="G11" s="155"/>
      <c r="H11" s="336"/>
      <c r="I11" s="155"/>
      <c r="J11" s="316"/>
      <c r="K11" s="337"/>
      <c r="L11" s="14"/>
    </row>
    <row r="12" spans="1:12" ht="15" customHeight="1" x14ac:dyDescent="0.4">
      <c r="A12" s="344" t="s">
        <v>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14"/>
    </row>
    <row r="13" spans="1:12" ht="15" customHeight="1" x14ac:dyDescent="0.4">
      <c r="A13" s="346" t="s">
        <v>44</v>
      </c>
      <c r="B13" s="338"/>
      <c r="C13" s="175">
        <f>'Portage Bill'!G2</f>
        <v>41365</v>
      </c>
      <c r="D13" s="347" t="s">
        <v>45</v>
      </c>
      <c r="E13" s="175">
        <f>'Portage Bill'!K2</f>
        <v>41394</v>
      </c>
      <c r="F13" s="348" t="s">
        <v>46</v>
      </c>
      <c r="G13" s="177" t="s">
        <v>114</v>
      </c>
      <c r="H13" s="347" t="s">
        <v>47</v>
      </c>
      <c r="I13" s="178">
        <f>'Portage Bill'!F30</f>
        <v>0</v>
      </c>
      <c r="J13" s="347" t="s">
        <v>43</v>
      </c>
      <c r="K13" s="163">
        <f>'Portage Bill'!G30</f>
        <v>0</v>
      </c>
      <c r="L13" s="14"/>
    </row>
    <row r="14" spans="1:12" ht="15" customHeight="1" x14ac:dyDescent="0.4">
      <c r="A14" s="349" t="s">
        <v>140</v>
      </c>
      <c r="B14" s="350"/>
      <c r="C14" s="43"/>
      <c r="D14" s="43"/>
      <c r="E14" s="43"/>
      <c r="F14" s="351"/>
      <c r="G14" s="8"/>
      <c r="H14" s="43"/>
      <c r="I14" s="352"/>
      <c r="J14" s="353"/>
      <c r="K14" s="49">
        <f>'Portage Bill'!I30</f>
        <v>0</v>
      </c>
      <c r="L14" s="14"/>
    </row>
    <row r="15" spans="1:12" ht="15" customHeight="1" x14ac:dyDescent="0.4">
      <c r="A15" s="349" t="s">
        <v>48</v>
      </c>
      <c r="B15" s="83"/>
      <c r="C15" s="43"/>
      <c r="D15" s="43"/>
      <c r="E15" s="43"/>
      <c r="F15" s="43"/>
      <c r="G15" s="43"/>
      <c r="H15" s="43"/>
      <c r="I15" s="43"/>
      <c r="J15" s="8"/>
      <c r="K15" s="49">
        <f>'Portage Bill'!N30</f>
        <v>0</v>
      </c>
      <c r="L15" s="14"/>
    </row>
    <row r="16" spans="1:12" ht="15" customHeight="1" x14ac:dyDescent="0.4">
      <c r="A16" s="349" t="s">
        <v>49</v>
      </c>
      <c r="B16" s="84"/>
      <c r="C16" s="46" t="s">
        <v>18</v>
      </c>
      <c r="D16" s="43"/>
      <c r="E16" s="43"/>
      <c r="F16" s="43"/>
      <c r="G16" s="43"/>
      <c r="H16" s="43"/>
      <c r="I16" s="43"/>
      <c r="J16" s="8"/>
      <c r="K16" s="49">
        <f>'Portage Bill'!O30</f>
        <v>0</v>
      </c>
      <c r="L16" s="14"/>
    </row>
    <row r="17" spans="1:13" ht="15" customHeight="1" x14ac:dyDescent="0.4">
      <c r="A17" s="349" t="s">
        <v>50</v>
      </c>
      <c r="B17" s="81"/>
      <c r="C17" s="274" t="str">
        <f>'Portage Bill'!L5</f>
        <v>Travelling</v>
      </c>
      <c r="D17" s="43"/>
      <c r="E17" s="43"/>
      <c r="F17" s="43"/>
      <c r="G17" s="43"/>
      <c r="H17" s="43"/>
      <c r="I17" s="43"/>
      <c r="J17" s="8"/>
      <c r="K17" s="49">
        <f>'Portage Bill'!L30</f>
        <v>0</v>
      </c>
      <c r="L17" s="14"/>
    </row>
    <row r="18" spans="1:13" ht="15" customHeight="1" x14ac:dyDescent="0.4">
      <c r="A18" s="351" t="s">
        <v>50</v>
      </c>
      <c r="B18" s="43"/>
      <c r="C18" s="81" t="str">
        <f>'Portage Bill'!J6</f>
        <v>FIDELITY</v>
      </c>
      <c r="D18" s="43"/>
      <c r="E18" s="43"/>
      <c r="F18" s="43"/>
      <c r="G18" s="43"/>
      <c r="H18" s="43"/>
      <c r="I18" s="43"/>
      <c r="J18" s="8"/>
      <c r="K18" s="49">
        <f>'Portage Bill'!J30</f>
        <v>0</v>
      </c>
    </row>
    <row r="19" spans="1:13" ht="15" customHeight="1" x14ac:dyDescent="0.4">
      <c r="A19" s="351" t="s">
        <v>50</v>
      </c>
      <c r="B19" s="43"/>
      <c r="C19" s="82" t="str">
        <f>'Portage Bill'!K5</f>
        <v>ALLOWANCE</v>
      </c>
      <c r="D19" s="43"/>
      <c r="E19" s="43"/>
      <c r="F19" s="43"/>
      <c r="G19" s="43"/>
      <c r="H19" s="43"/>
      <c r="I19" s="43"/>
      <c r="J19" s="8"/>
      <c r="K19" s="50">
        <f>'Portage Bill'!K30</f>
        <v>0</v>
      </c>
    </row>
    <row r="20" spans="1:13" ht="15" customHeight="1" x14ac:dyDescent="0.45">
      <c r="A20" s="354" t="s">
        <v>50</v>
      </c>
      <c r="B20" s="44"/>
      <c r="C20" s="280" t="str">
        <f>'Portage Bill'!P6</f>
        <v>Bonus &amp; Extras</v>
      </c>
      <c r="D20" s="69"/>
      <c r="E20" s="67"/>
      <c r="F20" s="44"/>
      <c r="G20" s="44"/>
      <c r="H20" s="44"/>
      <c r="I20" s="44"/>
      <c r="J20" s="44"/>
      <c r="K20" s="355">
        <f>'Portage Bill'!P30</f>
        <v>0</v>
      </c>
    </row>
    <row r="21" spans="1:13" ht="15" customHeight="1" x14ac:dyDescent="0.4">
      <c r="A21" s="42"/>
      <c r="B21" s="42"/>
      <c r="C21" s="42"/>
      <c r="D21" s="42"/>
      <c r="E21" s="42"/>
      <c r="F21" s="42"/>
      <c r="H21" s="51" t="s">
        <v>51</v>
      </c>
      <c r="I21" s="42"/>
      <c r="J21" s="42"/>
      <c r="K21" s="52">
        <f>SUM(K12:K20)</f>
        <v>0</v>
      </c>
    </row>
    <row r="22" spans="1:13" ht="15" customHeight="1" x14ac:dyDescent="0.4">
      <c r="A22" s="42"/>
      <c r="B22" s="42"/>
      <c r="C22" s="42"/>
      <c r="D22" s="42"/>
      <c r="E22" s="42"/>
      <c r="F22" s="42"/>
      <c r="H22" s="51"/>
      <c r="I22" s="42"/>
      <c r="J22" s="42"/>
      <c r="K22" s="52"/>
    </row>
    <row r="23" spans="1:13" ht="15" customHeight="1" x14ac:dyDescent="0.4">
      <c r="A23" s="339" t="s">
        <v>135</v>
      </c>
      <c r="B23" s="340"/>
      <c r="C23" s="340"/>
      <c r="D23" s="340"/>
      <c r="E23" s="340"/>
      <c r="F23" s="340"/>
      <c r="G23" s="341"/>
      <c r="H23" s="342"/>
      <c r="I23" s="340"/>
      <c r="J23" s="340"/>
      <c r="K23" s="356">
        <f>'Portage Bill'!AB30</f>
        <v>0</v>
      </c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339" t="s">
        <v>138</v>
      </c>
      <c r="B25" s="340"/>
      <c r="C25" s="340"/>
      <c r="D25" s="340"/>
      <c r="E25" s="340"/>
      <c r="F25" s="340"/>
      <c r="G25" s="341"/>
      <c r="H25" s="342"/>
      <c r="I25" s="340"/>
      <c r="J25" s="340"/>
      <c r="K25" s="356">
        <f>'Portage Bill'!AC30</f>
        <v>0</v>
      </c>
    </row>
    <row r="26" spans="1:13" ht="15" customHeight="1" x14ac:dyDescent="0.4">
      <c r="A26" s="363"/>
      <c r="B26" s="8"/>
      <c r="C26" s="8"/>
      <c r="D26" s="8"/>
      <c r="E26" s="8"/>
      <c r="F26" s="8"/>
      <c r="G26" s="1"/>
      <c r="H26" s="364"/>
      <c r="I26" s="8"/>
      <c r="J26" s="8"/>
      <c r="K26" s="365"/>
    </row>
    <row r="27" spans="1:13" ht="15" customHeight="1" x14ac:dyDescent="0.4">
      <c r="A27" s="339"/>
      <c r="B27" s="340"/>
      <c r="C27" s="340"/>
      <c r="D27" s="340"/>
      <c r="E27" s="340"/>
      <c r="F27" s="340"/>
      <c r="G27" s="342" t="s">
        <v>139</v>
      </c>
      <c r="H27" s="342"/>
      <c r="I27" s="340"/>
      <c r="J27" s="340"/>
      <c r="K27" s="356">
        <f>SUM(K21:K26)</f>
        <v>0</v>
      </c>
      <c r="M27" s="42"/>
    </row>
    <row r="28" spans="1:13" ht="15" customHeight="1" x14ac:dyDescent="0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357" t="s">
        <v>52</v>
      </c>
      <c r="B29" s="358"/>
      <c r="C29" s="358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88" t="str">
        <f>'Portage Bill'!X7</f>
        <v>Telecon</v>
      </c>
      <c r="B30" s="8"/>
      <c r="C30" s="62">
        <f>'Portage Bill'!X30</f>
        <v>0</v>
      </c>
      <c r="D30" s="42"/>
      <c r="E30" s="42"/>
      <c r="F30" s="42"/>
      <c r="G30" s="42"/>
      <c r="H30" s="42"/>
      <c r="I30" s="42"/>
      <c r="J30" s="42"/>
      <c r="K30" s="62"/>
      <c r="M30" s="42"/>
    </row>
    <row r="31" spans="1:13" ht="15" customHeight="1" x14ac:dyDescent="0.4">
      <c r="A31" s="351" t="s">
        <v>53</v>
      </c>
      <c r="B31" s="8"/>
      <c r="C31" s="62">
        <f>'Portage Bill'!W30</f>
        <v>0</v>
      </c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351" t="s">
        <v>54</v>
      </c>
      <c r="B32" s="8"/>
      <c r="C32" s="62">
        <f>'Portage Bill'!U30</f>
        <v>0</v>
      </c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351" t="s">
        <v>54</v>
      </c>
      <c r="B33" s="8"/>
      <c r="C33" s="62">
        <f>'Portage Bill'!V30</f>
        <v>0</v>
      </c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351" t="s">
        <v>98</v>
      </c>
      <c r="B34" s="8"/>
      <c r="C34" s="62">
        <f>'Portage Bill'!T30</f>
        <v>0</v>
      </c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351" t="s">
        <v>92</v>
      </c>
      <c r="B35" s="8"/>
      <c r="C35" s="62">
        <f>'Portage Bill'!Y30</f>
        <v>0</v>
      </c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351" t="str">
        <f>'Portage Bill'!R7</f>
        <v>***Leave pay</v>
      </c>
      <c r="B36" s="8"/>
      <c r="C36" s="343">
        <f>'Portage Bill'!R30</f>
        <v>0</v>
      </c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351" t="s">
        <v>55</v>
      </c>
      <c r="B37" s="8"/>
      <c r="C37" s="43"/>
      <c r="D37" s="42"/>
      <c r="E37" s="42"/>
      <c r="F37" s="42"/>
      <c r="G37" s="42"/>
      <c r="H37" s="42"/>
      <c r="I37" s="42"/>
      <c r="J37" s="42"/>
      <c r="K37" s="42"/>
      <c r="L37" s="14"/>
    </row>
    <row r="38" spans="1:13" ht="14.25" customHeight="1" x14ac:dyDescent="0.4">
      <c r="A38" s="359" t="str">
        <f>'deduct list'!W9</f>
        <v>Accumulated Leave pay</v>
      </c>
      <c r="B38" s="44"/>
      <c r="C38" s="44"/>
      <c r="D38" s="42"/>
      <c r="E38" s="294">
        <f>'deduct list'!W32</f>
        <v>0</v>
      </c>
      <c r="F38" s="42"/>
      <c r="G38" s="42"/>
      <c r="H38" s="45"/>
      <c r="I38" s="42"/>
      <c r="J38" s="42"/>
      <c r="K38" s="50"/>
      <c r="L38" s="14"/>
    </row>
    <row r="39" spans="1:13" ht="15" customHeight="1" x14ac:dyDescent="0.4">
      <c r="A39" s="369" t="s">
        <v>56</v>
      </c>
      <c r="B39" s="18"/>
      <c r="C39" s="371">
        <f>SUM(C30:C38)</f>
        <v>0</v>
      </c>
      <c r="D39" s="147"/>
      <c r="E39" s="147"/>
      <c r="F39" s="147"/>
      <c r="G39" s="179"/>
      <c r="H39" s="179"/>
      <c r="I39" s="179"/>
      <c r="J39" s="179"/>
      <c r="K39" s="360"/>
      <c r="L39" s="14"/>
    </row>
    <row r="40" spans="1:13" ht="15" customHeight="1" x14ac:dyDescent="0.45">
      <c r="A40" s="48"/>
      <c r="B40" s="42"/>
      <c r="C40" s="62"/>
      <c r="D40" s="147"/>
      <c r="E40" s="147"/>
      <c r="F40" s="147"/>
      <c r="G40" s="147"/>
      <c r="H40" s="367" t="s">
        <v>136</v>
      </c>
      <c r="I40" s="75"/>
      <c r="J40" s="75"/>
      <c r="K40" s="370">
        <f>'Portage Bill'!S30</f>
        <v>0</v>
      </c>
      <c r="L40" s="14"/>
    </row>
    <row r="41" spans="1:13" ht="15" customHeight="1" x14ac:dyDescent="0.45">
      <c r="A41" s="48"/>
      <c r="B41" s="42"/>
      <c r="C41" s="368"/>
      <c r="D41" s="147"/>
      <c r="E41" s="147"/>
      <c r="F41" s="147"/>
      <c r="G41" s="147"/>
      <c r="H41" s="367"/>
      <c r="I41" s="75"/>
      <c r="J41" s="75"/>
      <c r="K41" s="361"/>
      <c r="L41" s="14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366" t="s">
        <v>137</v>
      </c>
      <c r="I42" s="362"/>
      <c r="J42" s="75"/>
      <c r="K42" s="366">
        <f>'Portage Bill'!AD30</f>
        <v>0</v>
      </c>
      <c r="L42" s="14"/>
    </row>
    <row r="43" spans="1:13" ht="22.5" customHeight="1" x14ac:dyDescent="0.4">
      <c r="A43" s="155" t="s">
        <v>57</v>
      </c>
      <c r="B43" s="147"/>
      <c r="C43" s="165"/>
      <c r="D43" s="165"/>
      <c r="E43" s="208"/>
      <c r="F43" s="179" t="s">
        <v>58</v>
      </c>
      <c r="G43" s="154"/>
      <c r="H43" s="208"/>
      <c r="I43" s="165"/>
      <c r="J43" s="165"/>
      <c r="K43" s="165"/>
      <c r="L43" s="14"/>
    </row>
    <row r="44" spans="1:13" ht="15" customHeight="1" x14ac:dyDescent="0.4">
      <c r="A44" s="155" t="s">
        <v>59</v>
      </c>
      <c r="B44" s="14"/>
      <c r="C44" s="209"/>
      <c r="D44" s="209"/>
      <c r="E44" s="209"/>
      <c r="F44" s="209"/>
      <c r="G44" s="209"/>
      <c r="H44" s="209"/>
      <c r="I44" s="209"/>
      <c r="J44" s="209"/>
      <c r="K44" s="209"/>
      <c r="L44" s="14"/>
    </row>
    <row r="45" spans="1:13" ht="15" customHeight="1" x14ac:dyDescent="0.4">
      <c r="A45" s="155" t="s">
        <v>60</v>
      </c>
      <c r="B45" s="14"/>
      <c r="C45" s="14"/>
      <c r="D45" s="14"/>
      <c r="E45" s="210"/>
      <c r="F45" s="209"/>
      <c r="G45" s="209"/>
      <c r="H45" s="209"/>
      <c r="I45" s="209"/>
      <c r="J45" s="209"/>
      <c r="K45" s="209"/>
      <c r="L45" s="14"/>
    </row>
    <row r="46" spans="1:13" ht="15" customHeight="1" x14ac:dyDescent="0.4">
      <c r="A46" s="155" t="s">
        <v>61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3" ht="21" customHeight="1" x14ac:dyDescent="0.4">
      <c r="A47" s="211" t="s">
        <v>106</v>
      </c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 t="s">
        <v>62</v>
      </c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2" ht="15" customHeight="1" x14ac:dyDescent="0.4">
      <c r="A49" s="147"/>
      <c r="B49" s="14"/>
      <c r="C49" s="14"/>
      <c r="D49" s="14"/>
      <c r="E49" s="179" t="s">
        <v>30</v>
      </c>
      <c r="F49" s="214"/>
      <c r="G49" s="233">
        <f>'Portage Bill'!K2</f>
        <v>41394</v>
      </c>
      <c r="H49" s="14"/>
      <c r="I49" s="14"/>
      <c r="J49" s="14"/>
      <c r="K49" s="14"/>
      <c r="L49" s="14"/>
    </row>
    <row r="50" spans="1:12" ht="24" customHeight="1" x14ac:dyDescent="0.4">
      <c r="A50" s="43"/>
      <c r="B50" s="53"/>
      <c r="C50" s="53"/>
      <c r="D50" s="53"/>
      <c r="G50" s="1"/>
      <c r="H50" s="53"/>
      <c r="I50" s="53"/>
      <c r="J50" s="53"/>
      <c r="K50" s="53"/>
      <c r="L50" s="14"/>
    </row>
    <row r="51" spans="1:12" ht="15" customHeight="1" x14ac:dyDescent="0.35">
      <c r="A51" s="58" t="s">
        <v>63</v>
      </c>
      <c r="B51" s="56"/>
      <c r="C51" s="56"/>
      <c r="D51" s="56"/>
      <c r="H51" s="59" t="s">
        <v>64</v>
      </c>
      <c r="I51" s="57"/>
      <c r="J51" s="57"/>
      <c r="K51" s="57"/>
      <c r="L51" s="14"/>
    </row>
    <row r="52" spans="1:12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2" ht="17.100000000000001" customHeight="1" x14ac:dyDescent="0.35">
      <c r="J53" s="55" t="s">
        <v>65</v>
      </c>
    </row>
    <row r="54" spans="1:12" ht="17.100000000000001" customHeight="1" x14ac:dyDescent="0.35"/>
  </sheetData>
  <sheetProtection formatCells="0" formatColumns="0" formatRows="0"/>
  <phoneticPr fontId="66" type="noConversion"/>
  <pageMargins left="1.18" right="0.74803149606299213" top="0.31496062992125984" bottom="0.47244094488188981" header="0.31496062992125984" footer="0.51181102362204722"/>
  <pageSetup scale="92" orientation="portrait" horizontalDpi="300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view="pageLayout" zoomScaleNormal="100" workbookViewId="0">
      <selection activeCell="C3" sqref="C3"/>
    </sheetView>
  </sheetViews>
  <sheetFormatPr defaultRowHeight="12.75" x14ac:dyDescent="0.35"/>
  <cols>
    <col min="1" max="1" width="11.33203125" customWidth="1"/>
    <col min="2" max="2" width="8.53125" customWidth="1"/>
    <col min="3" max="3" width="11.86328125" customWidth="1"/>
    <col min="4" max="4" width="4.1328125" customWidth="1"/>
    <col min="5" max="5" width="11.6640625" customWidth="1"/>
    <col min="6" max="6" width="3.33203125" customWidth="1"/>
    <col min="7" max="7" width="8.53125" customWidth="1"/>
    <col min="8" max="8" width="7.46484375" customWidth="1"/>
    <col min="10" max="10" width="5.6640625" customWidth="1"/>
    <col min="11" max="11" width="11.53125" bestFit="1" customWidth="1"/>
  </cols>
  <sheetData>
    <row r="1" spans="1:12" ht="13.15" x14ac:dyDescent="0.4">
      <c r="A1" s="147"/>
      <c r="B1" s="147"/>
      <c r="C1" s="147"/>
      <c r="D1" s="147"/>
      <c r="E1" s="147"/>
      <c r="F1" s="147"/>
      <c r="G1" s="147"/>
      <c r="H1" s="147"/>
      <c r="I1" s="148" t="s">
        <v>80</v>
      </c>
      <c r="J1" s="149" t="s">
        <v>82</v>
      </c>
      <c r="K1" s="150" t="s">
        <v>89</v>
      </c>
      <c r="L1" s="14"/>
    </row>
    <row r="2" spans="1:12" ht="13.15" x14ac:dyDescent="0.4">
      <c r="B2" s="147"/>
      <c r="C2" s="147"/>
      <c r="D2" s="147"/>
      <c r="E2" s="147"/>
      <c r="F2" s="147"/>
      <c r="G2" s="147"/>
      <c r="H2" s="147"/>
      <c r="I2" s="148" t="s">
        <v>81</v>
      </c>
      <c r="J2" s="149" t="s">
        <v>82</v>
      </c>
      <c r="K2" s="151" t="s">
        <v>83</v>
      </c>
      <c r="L2" s="14"/>
    </row>
    <row r="3" spans="1:12" ht="19.899999999999999" x14ac:dyDescent="0.5">
      <c r="A3" s="147"/>
      <c r="B3" s="147"/>
      <c r="C3" s="147"/>
      <c r="D3" s="319" t="s">
        <v>32</v>
      </c>
      <c r="E3" s="147"/>
      <c r="F3" s="147"/>
      <c r="G3" s="147"/>
      <c r="H3" s="147"/>
      <c r="I3" s="153"/>
      <c r="J3" s="154"/>
      <c r="K3" s="154"/>
      <c r="L3" s="14"/>
    </row>
    <row r="4" spans="1:12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"/>
    </row>
    <row r="5" spans="1:12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"/>
    </row>
    <row r="6" spans="1:12" ht="15" x14ac:dyDescent="0.4">
      <c r="A6" s="155" t="str">
        <f>'Portage Bill'!B3</f>
        <v xml:space="preserve">Vessel:     </v>
      </c>
      <c r="B6" s="156">
        <f>'Portage Bill'!C3</f>
        <v>0</v>
      </c>
      <c r="C6" s="157"/>
      <c r="D6" s="158"/>
      <c r="E6" s="159"/>
      <c r="F6" s="147"/>
      <c r="G6" s="147"/>
      <c r="H6" s="155" t="s">
        <v>33</v>
      </c>
      <c r="I6" s="155"/>
      <c r="J6" s="160" t="s">
        <v>34</v>
      </c>
      <c r="K6" s="161"/>
      <c r="L6" s="14"/>
    </row>
    <row r="7" spans="1:12" ht="15" customHeight="1" x14ac:dyDescent="0.4">
      <c r="A7" s="147"/>
      <c r="B7" s="147"/>
      <c r="C7" s="147"/>
      <c r="D7" s="147"/>
      <c r="E7" s="147"/>
      <c r="F7" s="147"/>
      <c r="G7" s="147"/>
      <c r="H7" s="155" t="s">
        <v>35</v>
      </c>
      <c r="I7" s="155"/>
      <c r="J7" s="162"/>
      <c r="K7" s="163">
        <f>'Portage Bill'!F82</f>
        <v>0</v>
      </c>
      <c r="L7" s="14"/>
    </row>
    <row r="8" spans="1:12" ht="15" customHeight="1" x14ac:dyDescent="0.4">
      <c r="A8" s="155" t="s">
        <v>36</v>
      </c>
      <c r="B8" s="164">
        <f>'Portage Bill'!B31</f>
        <v>0</v>
      </c>
      <c r="C8" s="165"/>
      <c r="D8" s="165"/>
      <c r="E8" s="147"/>
      <c r="F8" s="147"/>
      <c r="G8" s="147"/>
      <c r="H8" s="155" t="s">
        <v>37</v>
      </c>
      <c r="I8" s="155"/>
      <c r="J8" s="162"/>
      <c r="K8" s="163">
        <f>'Portage Bill'!J82</f>
        <v>0</v>
      </c>
      <c r="L8" s="14"/>
    </row>
    <row r="9" spans="1:12" ht="15" customHeight="1" x14ac:dyDescent="0.4">
      <c r="A9" s="155" t="s">
        <v>38</v>
      </c>
      <c r="B9" s="166" t="str">
        <f>'Portage Bill'!D31</f>
        <v>Electrician</v>
      </c>
      <c r="C9" s="165"/>
      <c r="D9" s="147"/>
      <c r="E9" s="147"/>
      <c r="F9" s="147"/>
      <c r="G9" s="147"/>
      <c r="H9" s="155" t="s">
        <v>39</v>
      </c>
      <c r="I9" s="155"/>
      <c r="J9" s="155"/>
      <c r="K9" s="147"/>
      <c r="L9" s="14"/>
    </row>
    <row r="10" spans="1:12" ht="15" customHeight="1" x14ac:dyDescent="0.4">
      <c r="A10" s="155" t="s">
        <v>40</v>
      </c>
      <c r="B10" s="167"/>
      <c r="C10" s="168"/>
      <c r="D10" s="147"/>
      <c r="E10" s="147"/>
      <c r="F10" s="147"/>
      <c r="G10" s="155" t="s">
        <v>41</v>
      </c>
      <c r="H10" s="169"/>
      <c r="I10" s="155" t="s">
        <v>42</v>
      </c>
      <c r="J10" s="316"/>
      <c r="K10" s="171"/>
      <c r="L10" s="14"/>
    </row>
    <row r="11" spans="1:12" ht="15" customHeight="1" x14ac:dyDescent="0.4">
      <c r="A11" s="155"/>
      <c r="B11" s="334"/>
      <c r="C11" s="335"/>
      <c r="D11" s="147"/>
      <c r="E11" s="147"/>
      <c r="F11" s="147"/>
      <c r="G11" s="155"/>
      <c r="H11" s="336"/>
      <c r="I11" s="155"/>
      <c r="J11" s="316"/>
      <c r="K11" s="337"/>
      <c r="L11" s="14"/>
    </row>
    <row r="12" spans="1:12" ht="15" customHeight="1" x14ac:dyDescent="0.4">
      <c r="A12" s="344" t="s">
        <v>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14"/>
    </row>
    <row r="13" spans="1:12" ht="15" customHeight="1" x14ac:dyDescent="0.4">
      <c r="A13" s="346" t="s">
        <v>44</v>
      </c>
      <c r="B13" s="338"/>
      <c r="C13" s="175">
        <f>'Portage Bill'!G2</f>
        <v>41365</v>
      </c>
      <c r="D13" s="347" t="s">
        <v>45</v>
      </c>
      <c r="E13" s="175">
        <f>'Portage Bill'!K2</f>
        <v>41394</v>
      </c>
      <c r="F13" s="348" t="s">
        <v>46</v>
      </c>
      <c r="G13" s="177" t="s">
        <v>114</v>
      </c>
      <c r="H13" s="347" t="s">
        <v>47</v>
      </c>
      <c r="I13" s="178">
        <f>'Portage Bill'!F31</f>
        <v>0</v>
      </c>
      <c r="J13" s="347" t="s">
        <v>43</v>
      </c>
      <c r="K13" s="163">
        <f>'Portage Bill'!G31</f>
        <v>0</v>
      </c>
      <c r="L13" s="14"/>
    </row>
    <row r="14" spans="1:12" ht="15" customHeight="1" x14ac:dyDescent="0.4">
      <c r="A14" s="349" t="s">
        <v>140</v>
      </c>
      <c r="B14" s="350"/>
      <c r="C14" s="43"/>
      <c r="D14" s="43"/>
      <c r="E14" s="43"/>
      <c r="F14" s="351"/>
      <c r="G14" s="8"/>
      <c r="H14" s="43"/>
      <c r="I14" s="352"/>
      <c r="J14" s="353"/>
      <c r="K14" s="49">
        <f>'Portage Bill'!I31</f>
        <v>0</v>
      </c>
      <c r="L14" s="14"/>
    </row>
    <row r="15" spans="1:12" ht="15" customHeight="1" x14ac:dyDescent="0.4">
      <c r="A15" s="349" t="s">
        <v>48</v>
      </c>
      <c r="B15" s="83"/>
      <c r="C15" s="43"/>
      <c r="D15" s="43"/>
      <c r="E15" s="43"/>
      <c r="F15" s="43"/>
      <c r="G15" s="43"/>
      <c r="H15" s="43"/>
      <c r="I15" s="43"/>
      <c r="J15" s="8"/>
      <c r="K15" s="49">
        <f>'Portage Bill'!N31</f>
        <v>0</v>
      </c>
      <c r="L15" s="14"/>
    </row>
    <row r="16" spans="1:12" ht="15" customHeight="1" x14ac:dyDescent="0.4">
      <c r="A16" s="349" t="s">
        <v>49</v>
      </c>
      <c r="B16" s="84"/>
      <c r="C16" s="46" t="s">
        <v>18</v>
      </c>
      <c r="D16" s="43"/>
      <c r="E16" s="43"/>
      <c r="F16" s="43"/>
      <c r="G16" s="43"/>
      <c r="H16" s="43"/>
      <c r="I16" s="43"/>
      <c r="J16" s="8"/>
      <c r="K16" s="49">
        <f>'Portage Bill'!O31</f>
        <v>0</v>
      </c>
      <c r="L16" s="14"/>
    </row>
    <row r="17" spans="1:13" ht="15" customHeight="1" x14ac:dyDescent="0.4">
      <c r="A17" s="349" t="s">
        <v>50</v>
      </c>
      <c r="B17" s="81"/>
      <c r="C17" s="274" t="str">
        <f>'Portage Bill'!L5</f>
        <v>Travelling</v>
      </c>
      <c r="D17" s="43"/>
      <c r="E17" s="43"/>
      <c r="F17" s="43"/>
      <c r="G17" s="43"/>
      <c r="H17" s="43"/>
      <c r="I17" s="43"/>
      <c r="J17" s="8"/>
      <c r="K17" s="49">
        <f>'Portage Bill'!L31</f>
        <v>0</v>
      </c>
      <c r="L17" s="14"/>
    </row>
    <row r="18" spans="1:13" ht="15" customHeight="1" x14ac:dyDescent="0.4">
      <c r="A18" s="351" t="s">
        <v>50</v>
      </c>
      <c r="B18" s="43"/>
      <c r="C18" s="81" t="str">
        <f>'Portage Bill'!J6</f>
        <v>FIDELITY</v>
      </c>
      <c r="D18" s="43"/>
      <c r="E18" s="43"/>
      <c r="F18" s="43"/>
      <c r="G18" s="43"/>
      <c r="H18" s="43"/>
      <c r="I18" s="43"/>
      <c r="J18" s="8"/>
      <c r="K18" s="49">
        <f>'Portage Bill'!J31</f>
        <v>0</v>
      </c>
    </row>
    <row r="19" spans="1:13" ht="15" customHeight="1" x14ac:dyDescent="0.4">
      <c r="A19" s="351" t="s">
        <v>50</v>
      </c>
      <c r="B19" s="43"/>
      <c r="C19" s="82" t="str">
        <f>'Portage Bill'!K5</f>
        <v>ALLOWANCE</v>
      </c>
      <c r="D19" s="43"/>
      <c r="E19" s="43"/>
      <c r="F19" s="43"/>
      <c r="G19" s="43"/>
      <c r="H19" s="43"/>
      <c r="I19" s="43"/>
      <c r="J19" s="8"/>
      <c r="K19" s="50">
        <f>'Portage Bill'!K31</f>
        <v>0</v>
      </c>
    </row>
    <row r="20" spans="1:13" ht="15" customHeight="1" x14ac:dyDescent="0.45">
      <c r="A20" s="354" t="s">
        <v>50</v>
      </c>
      <c r="B20" s="44"/>
      <c r="C20" s="280" t="str">
        <f>'Portage Bill'!P6</f>
        <v>Bonus &amp; Extras</v>
      </c>
      <c r="D20" s="69"/>
      <c r="E20" s="67"/>
      <c r="F20" s="44"/>
      <c r="G20" s="44"/>
      <c r="H20" s="44"/>
      <c r="I20" s="44"/>
      <c r="J20" s="44"/>
      <c r="K20" s="355">
        <f>'Portage Bill'!P31</f>
        <v>0</v>
      </c>
    </row>
    <row r="21" spans="1:13" ht="15" customHeight="1" x14ac:dyDescent="0.4">
      <c r="A21" s="42"/>
      <c r="B21" s="42"/>
      <c r="C21" s="42"/>
      <c r="D21" s="42"/>
      <c r="E21" s="42"/>
      <c r="F21" s="42"/>
      <c r="H21" s="51" t="s">
        <v>51</v>
      </c>
      <c r="I21" s="42"/>
      <c r="J21" s="42"/>
      <c r="K21" s="52">
        <f>SUM(K12:K20)</f>
        <v>0</v>
      </c>
    </row>
    <row r="22" spans="1:13" ht="15" customHeight="1" x14ac:dyDescent="0.4">
      <c r="A22" s="42"/>
      <c r="B22" s="42"/>
      <c r="C22" s="42"/>
      <c r="D22" s="42"/>
      <c r="E22" s="42"/>
      <c r="F22" s="42"/>
      <c r="H22" s="51"/>
      <c r="I22" s="42"/>
      <c r="J22" s="42"/>
      <c r="K22" s="52"/>
    </row>
    <row r="23" spans="1:13" ht="15" customHeight="1" x14ac:dyDescent="0.4">
      <c r="A23" s="339" t="s">
        <v>135</v>
      </c>
      <c r="B23" s="340"/>
      <c r="C23" s="340"/>
      <c r="D23" s="340"/>
      <c r="E23" s="340"/>
      <c r="F23" s="340"/>
      <c r="G23" s="341"/>
      <c r="H23" s="342"/>
      <c r="I23" s="340"/>
      <c r="J23" s="340"/>
      <c r="K23" s="356">
        <f>'Portage Bill'!AB31</f>
        <v>0</v>
      </c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339" t="s">
        <v>138</v>
      </c>
      <c r="B25" s="340"/>
      <c r="C25" s="340"/>
      <c r="D25" s="340"/>
      <c r="E25" s="340"/>
      <c r="F25" s="340"/>
      <c r="G25" s="341"/>
      <c r="H25" s="342"/>
      <c r="I25" s="340"/>
      <c r="J25" s="340"/>
      <c r="K25" s="356">
        <f>'Portage Bill'!AC31</f>
        <v>0</v>
      </c>
    </row>
    <row r="26" spans="1:13" ht="15" customHeight="1" x14ac:dyDescent="0.4">
      <c r="A26" s="363"/>
      <c r="B26" s="8"/>
      <c r="C26" s="8"/>
      <c r="D26" s="8"/>
      <c r="E26" s="8"/>
      <c r="F26" s="8"/>
      <c r="G26" s="1"/>
      <c r="H26" s="364"/>
      <c r="I26" s="8"/>
      <c r="J26" s="8"/>
      <c r="K26" s="365"/>
    </row>
    <row r="27" spans="1:13" ht="15" customHeight="1" x14ac:dyDescent="0.4">
      <c r="A27" s="339"/>
      <c r="B27" s="340"/>
      <c r="C27" s="340"/>
      <c r="D27" s="340"/>
      <c r="E27" s="340"/>
      <c r="F27" s="340"/>
      <c r="G27" s="342" t="s">
        <v>139</v>
      </c>
      <c r="H27" s="342"/>
      <c r="I27" s="340"/>
      <c r="J27" s="340"/>
      <c r="K27" s="356">
        <f>SUM(K21:K26)</f>
        <v>0</v>
      </c>
      <c r="M27" s="42"/>
    </row>
    <row r="28" spans="1:13" ht="15" customHeight="1" x14ac:dyDescent="0.4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357" t="s">
        <v>52</v>
      </c>
      <c r="B29" s="358"/>
      <c r="C29" s="358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88" t="str">
        <f>'Portage Bill'!X7</f>
        <v>Telecon</v>
      </c>
      <c r="B30" s="8"/>
      <c r="C30" s="62">
        <f>'Portage Bill'!X31</f>
        <v>0</v>
      </c>
      <c r="D30" s="42"/>
      <c r="E30" s="42"/>
      <c r="F30" s="42"/>
      <c r="G30" s="42"/>
      <c r="H30" s="42"/>
      <c r="I30" s="42"/>
      <c r="J30" s="42"/>
      <c r="K30" s="62"/>
      <c r="M30" s="42"/>
    </row>
    <row r="31" spans="1:13" ht="15" customHeight="1" x14ac:dyDescent="0.4">
      <c r="A31" s="351" t="s">
        <v>53</v>
      </c>
      <c r="B31" s="8"/>
      <c r="C31" s="62">
        <f>'Portage Bill'!W31</f>
        <v>0</v>
      </c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351" t="s">
        <v>54</v>
      </c>
      <c r="B32" s="8"/>
      <c r="C32" s="62">
        <f>'Portage Bill'!U31</f>
        <v>0</v>
      </c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351" t="s">
        <v>54</v>
      </c>
      <c r="B33" s="8"/>
      <c r="C33" s="62">
        <f>'Portage Bill'!V31</f>
        <v>0</v>
      </c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351" t="s">
        <v>98</v>
      </c>
      <c r="B34" s="8"/>
      <c r="C34" s="62">
        <f>'Portage Bill'!T31</f>
        <v>0</v>
      </c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351" t="s">
        <v>92</v>
      </c>
      <c r="B35" s="8"/>
      <c r="C35" s="62">
        <f>'Portage Bill'!Y31</f>
        <v>0</v>
      </c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351" t="str">
        <f>'Portage Bill'!R7</f>
        <v>***Leave pay</v>
      </c>
      <c r="B36" s="8"/>
      <c r="C36" s="343">
        <f>'Portage Bill'!R31</f>
        <v>0</v>
      </c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351" t="s">
        <v>55</v>
      </c>
      <c r="B37" s="8"/>
      <c r="C37" s="43"/>
      <c r="D37" s="42"/>
      <c r="E37" s="42"/>
      <c r="F37" s="42"/>
      <c r="G37" s="42"/>
      <c r="H37" s="42"/>
      <c r="I37" s="42"/>
      <c r="J37" s="42"/>
      <c r="K37" s="42"/>
      <c r="L37" s="14"/>
    </row>
    <row r="38" spans="1:13" ht="14.25" customHeight="1" x14ac:dyDescent="0.4">
      <c r="A38" s="359" t="str">
        <f>'deduct list'!W9</f>
        <v>Accumulated Leave pay</v>
      </c>
      <c r="B38" s="44"/>
      <c r="C38" s="44"/>
      <c r="D38" s="42"/>
      <c r="E38" s="294">
        <f>'deduct list'!W33</f>
        <v>0</v>
      </c>
      <c r="F38" s="42"/>
      <c r="G38" s="42"/>
      <c r="H38" s="45"/>
      <c r="I38" s="42"/>
      <c r="J38" s="42"/>
      <c r="K38" s="50"/>
      <c r="L38" s="14"/>
    </row>
    <row r="39" spans="1:13" ht="15" customHeight="1" x14ac:dyDescent="0.4">
      <c r="A39" s="369" t="s">
        <v>56</v>
      </c>
      <c r="B39" s="18"/>
      <c r="C39" s="371">
        <f>SUM(C30:C38)</f>
        <v>0</v>
      </c>
      <c r="D39" s="147"/>
      <c r="E39" s="147"/>
      <c r="F39" s="147"/>
      <c r="G39" s="179"/>
      <c r="H39" s="179"/>
      <c r="I39" s="179"/>
      <c r="J39" s="179"/>
      <c r="K39" s="360"/>
      <c r="L39" s="14"/>
    </row>
    <row r="40" spans="1:13" ht="15" customHeight="1" x14ac:dyDescent="0.45">
      <c r="A40" s="48"/>
      <c r="B40" s="42"/>
      <c r="C40" s="62"/>
      <c r="D40" s="147"/>
      <c r="E40" s="147"/>
      <c r="F40" s="147"/>
      <c r="G40" s="147"/>
      <c r="H40" s="367" t="s">
        <v>136</v>
      </c>
      <c r="I40" s="75"/>
      <c r="J40" s="75"/>
      <c r="K40" s="370">
        <f>'Portage Bill'!S31</f>
        <v>0</v>
      </c>
      <c r="L40" s="14"/>
    </row>
    <row r="41" spans="1:13" ht="15" customHeight="1" x14ac:dyDescent="0.45">
      <c r="A41" s="48"/>
      <c r="B41" s="42"/>
      <c r="C41" s="368"/>
      <c r="D41" s="147"/>
      <c r="E41" s="147"/>
      <c r="F41" s="147"/>
      <c r="G41" s="147"/>
      <c r="H41" s="367"/>
      <c r="I41" s="75"/>
      <c r="J41" s="75"/>
      <c r="K41" s="361"/>
      <c r="L41" s="14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366" t="s">
        <v>137</v>
      </c>
      <c r="I42" s="362"/>
      <c r="J42" s="75"/>
      <c r="K42" s="366">
        <f>'Portage Bill'!AD31</f>
        <v>0</v>
      </c>
      <c r="L42" s="14"/>
    </row>
    <row r="43" spans="1:13" ht="22.5" customHeight="1" x14ac:dyDescent="0.4">
      <c r="A43" s="155" t="s">
        <v>57</v>
      </c>
      <c r="B43" s="147"/>
      <c r="C43" s="165"/>
      <c r="D43" s="165"/>
      <c r="E43" s="208"/>
      <c r="F43" s="179" t="s">
        <v>58</v>
      </c>
      <c r="G43" s="154"/>
      <c r="H43" s="208"/>
      <c r="I43" s="165"/>
      <c r="J43" s="165"/>
      <c r="K43" s="165"/>
      <c r="L43" s="14"/>
    </row>
    <row r="44" spans="1:13" ht="15" customHeight="1" x14ac:dyDescent="0.4">
      <c r="A44" s="155" t="s">
        <v>59</v>
      </c>
      <c r="B44" s="14"/>
      <c r="C44" s="209"/>
      <c r="D44" s="209"/>
      <c r="E44" s="209"/>
      <c r="F44" s="209"/>
      <c r="G44" s="209"/>
      <c r="H44" s="209"/>
      <c r="I44" s="209"/>
      <c r="J44" s="209"/>
      <c r="K44" s="209"/>
      <c r="L44" s="14"/>
    </row>
    <row r="45" spans="1:13" ht="15" customHeight="1" x14ac:dyDescent="0.4">
      <c r="A45" s="155" t="s">
        <v>60</v>
      </c>
      <c r="B45" s="14"/>
      <c r="C45" s="14"/>
      <c r="D45" s="14"/>
      <c r="E45" s="210"/>
      <c r="F45" s="209"/>
      <c r="G45" s="209"/>
      <c r="H45" s="209"/>
      <c r="I45" s="209"/>
      <c r="J45" s="209"/>
      <c r="K45" s="209"/>
      <c r="L45" s="14"/>
    </row>
    <row r="46" spans="1:13" ht="15" customHeight="1" x14ac:dyDescent="0.4">
      <c r="A46" s="155" t="s">
        <v>61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3" ht="21" customHeight="1" x14ac:dyDescent="0.4">
      <c r="A47" s="211" t="s">
        <v>106</v>
      </c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 t="s">
        <v>62</v>
      </c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2" ht="15" customHeight="1" x14ac:dyDescent="0.4">
      <c r="A49" s="147"/>
      <c r="B49" s="14"/>
      <c r="C49" s="14"/>
      <c r="D49" s="14"/>
      <c r="E49" s="179" t="s">
        <v>30</v>
      </c>
      <c r="F49" s="214"/>
      <c r="G49" s="233">
        <f>'Portage Bill'!K2</f>
        <v>41394</v>
      </c>
      <c r="H49" s="14"/>
      <c r="I49" s="14"/>
      <c r="J49" s="14"/>
      <c r="K49" s="14"/>
      <c r="L49" s="14"/>
    </row>
    <row r="50" spans="1:12" ht="24" customHeight="1" x14ac:dyDescent="0.4">
      <c r="A50" s="43"/>
      <c r="B50" s="53"/>
      <c r="C50" s="53"/>
      <c r="D50" s="53"/>
      <c r="G50" s="1"/>
      <c r="H50" s="53"/>
      <c r="I50" s="53"/>
      <c r="J50" s="53"/>
      <c r="K50" s="53"/>
      <c r="L50" s="14"/>
    </row>
    <row r="51" spans="1:12" ht="15" customHeight="1" x14ac:dyDescent="0.35">
      <c r="A51" s="58" t="s">
        <v>63</v>
      </c>
      <c r="B51" s="56"/>
      <c r="C51" s="56"/>
      <c r="D51" s="56"/>
      <c r="H51" s="59" t="s">
        <v>64</v>
      </c>
      <c r="I51" s="57"/>
      <c r="J51" s="57"/>
      <c r="K51" s="57"/>
      <c r="L51" s="14"/>
    </row>
    <row r="52" spans="1:12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2" ht="17.100000000000001" customHeight="1" x14ac:dyDescent="0.35">
      <c r="J53" s="55" t="s">
        <v>65</v>
      </c>
    </row>
    <row r="54" spans="1:12" ht="17.100000000000001" customHeight="1" x14ac:dyDescent="0.35"/>
  </sheetData>
  <sheetProtection formatCells="0" formatColumns="0" formatRows="0"/>
  <phoneticPr fontId="66" type="noConversion"/>
  <pageMargins left="1.1499999999999999" right="0.74803149606299213" top="0.31496062992125984" bottom="0.47244094488188981" header="0.31496062992125984" footer="0.51181102362204722"/>
  <pageSetup scale="92" orientation="portrait" horizontalDpi="300" verticalDpi="3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zoomScaleNormal="100" workbookViewId="0"/>
  </sheetViews>
  <sheetFormatPr defaultRowHeight="12.75" x14ac:dyDescent="0.35"/>
  <cols>
    <col min="2" max="2" width="4.86328125" customWidth="1"/>
    <col min="3" max="3" width="12.1328125" customWidth="1"/>
    <col min="4" max="4" width="4.1328125" customWidth="1"/>
    <col min="5" max="5" width="12.46484375" customWidth="1"/>
    <col min="6" max="6" width="3.33203125" customWidth="1"/>
    <col min="7" max="7" width="10.86328125" bestFit="1" customWidth="1"/>
    <col min="8" max="8" width="7.46484375" customWidth="1"/>
    <col min="10" max="10" width="7" customWidth="1"/>
    <col min="11" max="11" width="11.53125" bestFit="1" customWidth="1"/>
  </cols>
  <sheetData>
    <row r="1" spans="1:12" ht="13.15" x14ac:dyDescent="0.4">
      <c r="A1" s="147"/>
      <c r="B1" s="147"/>
      <c r="C1" s="147"/>
      <c r="D1" s="147"/>
      <c r="E1" s="147"/>
      <c r="F1" s="147"/>
      <c r="G1" s="147"/>
      <c r="H1" s="147"/>
      <c r="I1" s="321"/>
      <c r="J1" s="322"/>
      <c r="K1" s="323"/>
      <c r="L1" s="14"/>
    </row>
    <row r="2" spans="1:12" ht="13.15" x14ac:dyDescent="0.4">
      <c r="A2" s="147"/>
      <c r="B2" s="147"/>
      <c r="C2" s="147"/>
      <c r="D2" s="147"/>
      <c r="E2" s="147"/>
      <c r="F2" s="147"/>
      <c r="G2" s="147"/>
      <c r="H2" s="147"/>
      <c r="I2" s="321"/>
      <c r="J2" s="322"/>
      <c r="K2" s="324"/>
      <c r="L2" s="14"/>
    </row>
    <row r="3" spans="1:12" ht="17.25" x14ac:dyDescent="0.45">
      <c r="A3" s="147"/>
      <c r="B3" s="147"/>
      <c r="C3" s="147"/>
      <c r="D3" s="152"/>
      <c r="E3" s="147"/>
      <c r="F3" s="147"/>
      <c r="G3" s="147"/>
      <c r="H3" s="147"/>
      <c r="I3" s="153"/>
      <c r="J3" s="154"/>
      <c r="K3" s="154"/>
      <c r="L3" s="14"/>
    </row>
    <row r="4" spans="1:12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"/>
    </row>
    <row r="5" spans="1:12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"/>
    </row>
    <row r="6" spans="1:12" ht="13.15" x14ac:dyDescent="0.4">
      <c r="A6" s="147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"/>
    </row>
    <row r="7" spans="1:12" ht="15" customHeight="1" x14ac:dyDescent="0.4">
      <c r="A7" s="155"/>
      <c r="B7" s="156"/>
      <c r="C7" s="157"/>
      <c r="D7" s="158"/>
      <c r="E7" s="159"/>
      <c r="F7" s="147"/>
      <c r="G7" s="147"/>
      <c r="H7" s="155"/>
      <c r="I7" s="155"/>
      <c r="J7" s="160"/>
      <c r="K7" s="161"/>
      <c r="L7" s="14"/>
    </row>
    <row r="8" spans="1:12" ht="15" customHeight="1" x14ac:dyDescent="0.4">
      <c r="A8" s="147"/>
      <c r="B8" s="147"/>
      <c r="C8" s="147"/>
      <c r="D8" s="147"/>
      <c r="E8" s="147"/>
      <c r="F8" s="147"/>
      <c r="G8" s="147"/>
      <c r="H8" s="155"/>
      <c r="I8" s="155"/>
      <c r="J8" s="162"/>
      <c r="K8" s="163"/>
      <c r="L8" s="14"/>
    </row>
    <row r="9" spans="1:12" ht="15" customHeight="1" x14ac:dyDescent="0.4">
      <c r="A9" s="155"/>
      <c r="B9" s="164"/>
      <c r="C9" s="165"/>
      <c r="D9" s="165"/>
      <c r="E9" s="147"/>
      <c r="F9" s="147"/>
      <c r="G9" s="147"/>
      <c r="H9" s="155"/>
      <c r="I9" s="155"/>
      <c r="J9" s="162"/>
      <c r="K9" s="165"/>
      <c r="L9" s="14"/>
    </row>
    <row r="10" spans="1:12" ht="15" customHeight="1" x14ac:dyDescent="0.4">
      <c r="A10" s="155"/>
      <c r="B10" s="166"/>
      <c r="C10" s="165"/>
      <c r="D10" s="147"/>
      <c r="E10" s="147"/>
      <c r="F10" s="147"/>
      <c r="G10" s="147"/>
      <c r="H10" s="155"/>
      <c r="I10" s="155"/>
      <c r="J10" s="155"/>
      <c r="K10" s="147"/>
      <c r="L10" s="14"/>
    </row>
    <row r="11" spans="1:12" ht="15" customHeight="1" x14ac:dyDescent="0.4">
      <c r="A11" s="155"/>
      <c r="B11" s="167"/>
      <c r="C11" s="168"/>
      <c r="D11" s="147"/>
      <c r="E11" s="147"/>
      <c r="F11" s="147"/>
      <c r="G11" s="155"/>
      <c r="H11" s="169"/>
      <c r="I11" s="155"/>
      <c r="J11" s="325"/>
      <c r="K11" s="171"/>
      <c r="L11" s="14"/>
    </row>
    <row r="12" spans="1:12" ht="15" customHeight="1" x14ac:dyDescent="0.4">
      <c r="A12" s="18"/>
      <c r="B12" s="18"/>
      <c r="C12" s="172"/>
      <c r="D12" s="18"/>
      <c r="E12" s="18"/>
      <c r="F12" s="18"/>
      <c r="G12" s="18"/>
      <c r="H12" s="18"/>
      <c r="I12" s="18"/>
      <c r="J12" s="147"/>
      <c r="K12" s="147"/>
      <c r="L12" s="14"/>
    </row>
    <row r="13" spans="1:12" ht="15" customHeight="1" x14ac:dyDescent="0.4">
      <c r="A13" s="173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"/>
    </row>
    <row r="14" spans="1:12" ht="15" customHeight="1" x14ac:dyDescent="0.4">
      <c r="A14" s="174"/>
      <c r="B14" s="154"/>
      <c r="C14" s="175"/>
      <c r="D14" s="155"/>
      <c r="E14" s="175"/>
      <c r="F14" s="176"/>
      <c r="G14" s="177"/>
      <c r="H14" s="155"/>
      <c r="I14" s="178"/>
      <c r="J14" s="155"/>
      <c r="K14" s="163"/>
      <c r="L14" s="14"/>
    </row>
    <row r="15" spans="1:12" ht="15" customHeight="1" x14ac:dyDescent="0.4">
      <c r="A15" s="174"/>
      <c r="B15" s="154"/>
      <c r="C15" s="165"/>
      <c r="D15" s="155"/>
      <c r="E15" s="165"/>
      <c r="F15" s="176"/>
      <c r="G15" s="165"/>
      <c r="H15" s="155"/>
      <c r="I15" s="165"/>
      <c r="J15" s="155"/>
      <c r="K15" s="162"/>
      <c r="L15" s="14"/>
    </row>
    <row r="16" spans="1:12" ht="15" customHeight="1" x14ac:dyDescent="0.4">
      <c r="A16" s="174"/>
      <c r="B16" s="154"/>
      <c r="C16" s="165"/>
      <c r="D16" s="165"/>
      <c r="E16" s="165"/>
      <c r="F16" s="155"/>
      <c r="G16" s="147"/>
      <c r="H16" s="165"/>
      <c r="I16" s="179"/>
      <c r="J16" s="180"/>
      <c r="K16" s="163"/>
      <c r="L16" s="14"/>
    </row>
    <row r="17" spans="1:13" ht="15" customHeight="1" x14ac:dyDescent="0.4">
      <c r="A17" s="174"/>
      <c r="B17" s="147"/>
      <c r="C17" s="181"/>
      <c r="D17" s="165"/>
      <c r="E17" s="165"/>
      <c r="F17" s="165"/>
      <c r="G17" s="165"/>
      <c r="H17" s="165"/>
      <c r="I17" s="165"/>
      <c r="J17" s="147"/>
      <c r="K17" s="163"/>
      <c r="L17" s="14"/>
    </row>
    <row r="18" spans="1:13" ht="15" customHeight="1" x14ac:dyDescent="0.4">
      <c r="A18" s="47"/>
      <c r="B18" s="83"/>
      <c r="C18" s="43"/>
      <c r="D18" s="43"/>
      <c r="E18" s="43"/>
      <c r="F18" s="43"/>
      <c r="G18" s="43"/>
      <c r="H18" s="43"/>
      <c r="I18" s="43"/>
      <c r="J18" s="42"/>
      <c r="K18" s="49"/>
    </row>
    <row r="19" spans="1:13" ht="15" customHeight="1" x14ac:dyDescent="0.4">
      <c r="A19" s="47"/>
      <c r="B19" s="84"/>
      <c r="C19" s="46"/>
      <c r="D19" s="43"/>
      <c r="E19" s="43"/>
      <c r="F19" s="43"/>
      <c r="G19" s="43"/>
      <c r="H19" s="43"/>
      <c r="I19" s="43"/>
      <c r="J19" s="42"/>
      <c r="K19" s="49"/>
    </row>
    <row r="20" spans="1:13" ht="15" customHeight="1" x14ac:dyDescent="0.4">
      <c r="A20" s="47"/>
      <c r="B20" s="81"/>
      <c r="C20" s="274"/>
      <c r="D20" s="43"/>
      <c r="E20" s="43"/>
      <c r="F20" s="43"/>
      <c r="G20" s="43"/>
      <c r="H20" s="43"/>
      <c r="I20" s="43"/>
      <c r="J20" s="42"/>
      <c r="K20" s="49"/>
    </row>
    <row r="21" spans="1:13" ht="15" customHeight="1" x14ac:dyDescent="0.4">
      <c r="A21" s="48"/>
      <c r="B21" s="43"/>
      <c r="C21" s="81"/>
      <c r="D21" s="43"/>
      <c r="E21" s="43"/>
      <c r="F21" s="43"/>
      <c r="G21" s="43"/>
      <c r="H21" s="43"/>
      <c r="I21" s="43"/>
      <c r="J21" s="42"/>
      <c r="K21" s="49"/>
    </row>
    <row r="22" spans="1:13" ht="15" customHeight="1" x14ac:dyDescent="0.4">
      <c r="A22" s="48"/>
      <c r="B22" s="43"/>
      <c r="C22" s="82"/>
      <c r="D22" s="43"/>
      <c r="E22" s="43"/>
      <c r="F22" s="43"/>
      <c r="G22" s="43"/>
      <c r="H22" s="43"/>
      <c r="I22" s="43"/>
      <c r="J22" s="42"/>
      <c r="K22" s="50"/>
    </row>
    <row r="23" spans="1:13" ht="15" customHeight="1" x14ac:dyDescent="0.45">
      <c r="A23" s="48"/>
      <c r="B23" s="44"/>
      <c r="C23" s="280"/>
      <c r="D23" s="69"/>
      <c r="E23" s="67"/>
      <c r="F23" s="44"/>
      <c r="G23" s="44"/>
      <c r="H23" s="44"/>
      <c r="I23" s="44"/>
      <c r="J23" s="44"/>
      <c r="K23" s="50"/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</row>
    <row r="26" spans="1:13" ht="15" customHeight="1" x14ac:dyDescent="0.4">
      <c r="A26" s="45"/>
      <c r="B26" s="42"/>
      <c r="C26" s="42"/>
      <c r="D26" s="42"/>
      <c r="E26" s="42"/>
      <c r="F26" s="42"/>
      <c r="G26" s="42"/>
      <c r="H26" s="42"/>
      <c r="I26" s="42"/>
      <c r="J26" s="42"/>
      <c r="K26" s="42"/>
    </row>
    <row r="27" spans="1:13" ht="15" customHeight="1" x14ac:dyDescent="0.4">
      <c r="A27" s="48"/>
      <c r="B27" s="42"/>
      <c r="C27" s="62"/>
      <c r="D27" s="42"/>
      <c r="E27" s="42"/>
      <c r="F27" s="42"/>
      <c r="G27" s="42"/>
      <c r="H27" s="42"/>
      <c r="I27" s="42"/>
      <c r="J27" s="42"/>
      <c r="K27" s="42"/>
      <c r="M27" s="42"/>
    </row>
    <row r="28" spans="1:13" ht="15" customHeight="1" x14ac:dyDescent="0.4">
      <c r="A28" s="88"/>
      <c r="B28" s="42"/>
      <c r="C28" s="6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48"/>
      <c r="B29" s="42"/>
      <c r="C29" s="62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48"/>
      <c r="B30" s="42"/>
      <c r="C30" s="62"/>
      <c r="D30" s="42"/>
      <c r="E30" s="42"/>
      <c r="F30" s="42"/>
      <c r="G30" s="42"/>
      <c r="H30" s="42"/>
      <c r="I30" s="42"/>
      <c r="J30" s="42"/>
      <c r="K30" s="42"/>
      <c r="M30" s="42"/>
    </row>
    <row r="31" spans="1:13" ht="15" customHeight="1" x14ac:dyDescent="0.4">
      <c r="A31" s="48"/>
      <c r="B31" s="42"/>
      <c r="C31" s="62"/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48"/>
      <c r="B32" s="42"/>
      <c r="C32" s="62"/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48"/>
      <c r="B33" s="42"/>
      <c r="C33" s="62"/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48"/>
      <c r="B34" s="42"/>
      <c r="C34" s="62"/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48"/>
      <c r="B35" s="42"/>
      <c r="C35" s="144"/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48"/>
      <c r="B36" s="42"/>
      <c r="C36" s="43"/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293"/>
      <c r="B37" s="42"/>
      <c r="C37" s="42"/>
      <c r="D37" s="42"/>
      <c r="E37" s="294"/>
      <c r="F37" s="147"/>
      <c r="G37" s="147"/>
      <c r="H37" s="173"/>
      <c r="I37" s="147"/>
      <c r="J37" s="147"/>
      <c r="K37" s="220"/>
      <c r="L37" s="14"/>
    </row>
    <row r="38" spans="1:13" ht="3" customHeight="1" x14ac:dyDescent="0.4">
      <c r="A38" s="147"/>
      <c r="B38" s="147"/>
      <c r="C38" s="147"/>
      <c r="D38" s="147"/>
      <c r="E38" s="147"/>
      <c r="F38" s="147"/>
      <c r="G38" s="147"/>
      <c r="H38" s="147"/>
      <c r="I38" s="147"/>
      <c r="J38" s="221"/>
      <c r="K38" s="18"/>
      <c r="L38" s="14"/>
    </row>
    <row r="39" spans="1:13" ht="15" customHeight="1" x14ac:dyDescent="0.4">
      <c r="A39" s="147"/>
      <c r="B39" s="147"/>
      <c r="C39" s="373"/>
      <c r="D39" s="147"/>
      <c r="E39" s="147"/>
      <c r="F39" s="147"/>
      <c r="G39" s="147"/>
      <c r="H39" s="147"/>
      <c r="I39" s="179"/>
      <c r="J39" s="179"/>
      <c r="K39" s="163"/>
      <c r="L39" s="14"/>
    </row>
    <row r="40" spans="1:13" ht="15" customHeight="1" x14ac:dyDescent="0.4">
      <c r="A40" s="147"/>
      <c r="B40" s="147"/>
      <c r="C40" s="147"/>
      <c r="D40" s="147"/>
      <c r="E40" s="147"/>
      <c r="F40" s="147"/>
      <c r="G40" s="179"/>
      <c r="H40" s="179"/>
      <c r="I40" s="179"/>
      <c r="J40" s="179"/>
      <c r="K40" s="220"/>
      <c r="L40" s="14"/>
    </row>
    <row r="41" spans="1:13" ht="15" customHeight="1" x14ac:dyDescent="0.4">
      <c r="A41" s="147"/>
      <c r="B41" s="147"/>
      <c r="C41" s="147"/>
      <c r="D41" s="147"/>
      <c r="E41" s="147"/>
      <c r="F41" s="147"/>
      <c r="G41" s="147"/>
      <c r="H41" s="222"/>
      <c r="I41" s="147"/>
      <c r="J41" s="147"/>
      <c r="K41" s="220"/>
      <c r="L41" s="14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147"/>
      <c r="I42" s="155"/>
      <c r="J42" s="147"/>
      <c r="K42" s="165"/>
      <c r="L42" s="14"/>
    </row>
    <row r="43" spans="1:13" ht="22.5" customHeight="1" x14ac:dyDescent="0.4">
      <c r="A43" s="155"/>
      <c r="B43" s="147"/>
      <c r="C43" s="165"/>
      <c r="D43" s="165"/>
      <c r="E43" s="208"/>
      <c r="F43" s="179"/>
      <c r="G43" s="154"/>
      <c r="H43" s="208"/>
      <c r="I43" s="165"/>
      <c r="J43" s="165"/>
      <c r="K43" s="165"/>
      <c r="L43" s="14"/>
    </row>
    <row r="44" spans="1:13" ht="15" customHeight="1" x14ac:dyDescent="0.4">
      <c r="A44" s="155"/>
      <c r="B44" s="14"/>
      <c r="C44" s="209"/>
      <c r="D44" s="209"/>
      <c r="E44" s="209"/>
      <c r="F44" s="209"/>
      <c r="G44" s="209"/>
      <c r="H44" s="209"/>
      <c r="I44" s="209"/>
      <c r="J44" s="209"/>
      <c r="K44" s="209"/>
      <c r="L44" s="14"/>
    </row>
    <row r="45" spans="1:13" ht="15" customHeight="1" x14ac:dyDescent="0.4">
      <c r="A45" s="155"/>
      <c r="B45" s="14"/>
      <c r="C45" s="14"/>
      <c r="D45" s="14"/>
      <c r="E45" s="210"/>
      <c r="F45" s="209"/>
      <c r="G45" s="209"/>
      <c r="H45" s="209"/>
      <c r="I45" s="209"/>
      <c r="J45" s="209"/>
      <c r="K45" s="209"/>
      <c r="L45" s="14"/>
    </row>
    <row r="46" spans="1:13" ht="15" customHeight="1" x14ac:dyDescent="0.4">
      <c r="A46" s="15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3" ht="21" customHeight="1" x14ac:dyDescent="0.4">
      <c r="A47" s="211"/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/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2" ht="15" customHeight="1" x14ac:dyDescent="0.4">
      <c r="A49" s="147"/>
      <c r="B49" s="14"/>
      <c r="C49" s="14"/>
      <c r="D49" s="14"/>
      <c r="E49" s="179"/>
      <c r="F49" s="214"/>
      <c r="G49" s="236"/>
      <c r="H49" s="14"/>
      <c r="I49" s="14"/>
      <c r="J49" s="14"/>
      <c r="K49" s="14"/>
      <c r="L49" s="14"/>
    </row>
    <row r="50" spans="1:12" ht="24" customHeight="1" x14ac:dyDescent="0.4">
      <c r="A50" s="165"/>
      <c r="B50" s="209"/>
      <c r="C50" s="209"/>
      <c r="D50" s="209"/>
      <c r="E50" s="14"/>
      <c r="F50" s="14"/>
      <c r="G50" s="215"/>
      <c r="H50" s="209"/>
      <c r="I50" s="209"/>
      <c r="J50" s="209"/>
      <c r="K50" s="209"/>
      <c r="L50" s="14"/>
    </row>
    <row r="51" spans="1:12" ht="15" customHeight="1" x14ac:dyDescent="0.35">
      <c r="A51" s="216"/>
      <c r="B51" s="217"/>
      <c r="C51" s="217"/>
      <c r="D51" s="217"/>
      <c r="E51" s="14"/>
      <c r="F51" s="14"/>
      <c r="G51" s="14"/>
      <c r="H51" s="218"/>
      <c r="I51" s="219"/>
      <c r="J51" s="219"/>
      <c r="K51" s="219"/>
      <c r="L51" s="14"/>
    </row>
    <row r="52" spans="1:12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2" ht="17.100000000000001" customHeight="1" x14ac:dyDescent="0.35">
      <c r="J53" s="55"/>
    </row>
    <row r="54" spans="1:12" ht="17.100000000000001" customHeight="1" x14ac:dyDescent="0.35"/>
  </sheetData>
  <sheetProtection formatCells="0" formatColumns="0" formatRows="0"/>
  <phoneticPr fontId="66" type="noConversion"/>
  <pageMargins left="0.75" right="0.75" top="0.33" bottom="0.46" header="0.33" footer="0.5"/>
  <pageSetup scale="93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zoomScaleNormal="100" workbookViewId="0">
      <selection sqref="A1:K55"/>
    </sheetView>
  </sheetViews>
  <sheetFormatPr defaultRowHeight="12.75" x14ac:dyDescent="0.35"/>
  <cols>
    <col min="2" max="2" width="4.86328125" customWidth="1"/>
    <col min="3" max="3" width="12.1328125" customWidth="1"/>
    <col min="4" max="4" width="4.1328125" customWidth="1"/>
    <col min="5" max="5" width="12.1328125" customWidth="1"/>
    <col min="6" max="6" width="3.33203125" customWidth="1"/>
    <col min="7" max="7" width="10.86328125" bestFit="1" customWidth="1"/>
    <col min="8" max="8" width="7.46484375" customWidth="1"/>
    <col min="10" max="10" width="5.6640625" customWidth="1"/>
    <col min="11" max="11" width="11.53125" bestFit="1" customWidth="1"/>
  </cols>
  <sheetData>
    <row r="1" spans="1:12" ht="13.15" x14ac:dyDescent="0.4">
      <c r="A1" s="147"/>
      <c r="B1" s="147"/>
      <c r="C1" s="147"/>
      <c r="D1" s="147"/>
      <c r="E1" s="147"/>
      <c r="F1" s="147"/>
      <c r="G1" s="147"/>
      <c r="H1" s="147"/>
      <c r="I1" s="321"/>
      <c r="J1" s="322"/>
      <c r="K1" s="323"/>
      <c r="L1" s="14"/>
    </row>
    <row r="2" spans="1:12" ht="13.15" x14ac:dyDescent="0.4">
      <c r="A2" s="147"/>
      <c r="B2" s="147"/>
      <c r="C2" s="147"/>
      <c r="D2" s="147"/>
      <c r="E2" s="147"/>
      <c r="F2" s="147"/>
      <c r="G2" s="147"/>
      <c r="H2" s="147"/>
      <c r="I2" s="321"/>
      <c r="J2" s="322"/>
      <c r="K2" s="324"/>
      <c r="L2" s="14"/>
    </row>
    <row r="3" spans="1:12" ht="17.25" x14ac:dyDescent="0.45">
      <c r="A3" s="147"/>
      <c r="B3" s="147"/>
      <c r="C3" s="147"/>
      <c r="D3" s="152"/>
      <c r="E3" s="147"/>
      <c r="F3" s="147"/>
      <c r="G3" s="147"/>
      <c r="H3" s="147"/>
      <c r="I3" s="153"/>
      <c r="J3" s="154"/>
      <c r="K3" s="154"/>
      <c r="L3" s="14"/>
    </row>
    <row r="4" spans="1:12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"/>
    </row>
    <row r="5" spans="1:12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"/>
    </row>
    <row r="6" spans="1:12" ht="13.15" x14ac:dyDescent="0.4">
      <c r="A6" s="147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"/>
    </row>
    <row r="7" spans="1:12" ht="15" customHeight="1" x14ac:dyDescent="0.4">
      <c r="A7" s="155"/>
      <c r="B7" s="156"/>
      <c r="C7" s="157"/>
      <c r="D7" s="158"/>
      <c r="E7" s="159"/>
      <c r="F7" s="147"/>
      <c r="G7" s="147"/>
      <c r="H7" s="155"/>
      <c r="I7" s="155"/>
      <c r="J7" s="160"/>
      <c r="K7" s="161"/>
      <c r="L7" s="14"/>
    </row>
    <row r="8" spans="1:12" ht="15" customHeight="1" x14ac:dyDescent="0.4">
      <c r="A8" s="147"/>
      <c r="B8" s="147"/>
      <c r="C8" s="147"/>
      <c r="D8" s="147"/>
      <c r="E8" s="147"/>
      <c r="F8" s="147"/>
      <c r="G8" s="147"/>
      <c r="H8" s="155"/>
      <c r="I8" s="155"/>
      <c r="J8" s="162"/>
      <c r="K8" s="163"/>
      <c r="L8" s="14"/>
    </row>
    <row r="9" spans="1:12" ht="15" customHeight="1" x14ac:dyDescent="0.4">
      <c r="A9" s="155"/>
      <c r="B9" s="164"/>
      <c r="C9" s="165"/>
      <c r="D9" s="165"/>
      <c r="E9" s="147"/>
      <c r="F9" s="147"/>
      <c r="G9" s="147"/>
      <c r="H9" s="155"/>
      <c r="I9" s="155"/>
      <c r="J9" s="162"/>
      <c r="K9" s="165"/>
      <c r="L9" s="14"/>
    </row>
    <row r="10" spans="1:12" ht="15" customHeight="1" x14ac:dyDescent="0.4">
      <c r="A10" s="155"/>
      <c r="B10" s="166"/>
      <c r="C10" s="165"/>
      <c r="D10" s="147"/>
      <c r="E10" s="147"/>
      <c r="F10" s="147"/>
      <c r="G10" s="147"/>
      <c r="H10" s="155"/>
      <c r="I10" s="155"/>
      <c r="J10" s="155"/>
      <c r="K10" s="147"/>
      <c r="L10" s="14"/>
    </row>
    <row r="11" spans="1:12" ht="15" customHeight="1" x14ac:dyDescent="0.4">
      <c r="A11" s="155"/>
      <c r="B11" s="167"/>
      <c r="C11" s="168"/>
      <c r="D11" s="147"/>
      <c r="E11" s="147"/>
      <c r="F11" s="147"/>
      <c r="G11" s="155"/>
      <c r="H11" s="169"/>
      <c r="I11" s="155"/>
      <c r="J11" s="170"/>
      <c r="K11" s="171"/>
      <c r="L11" s="14"/>
    </row>
    <row r="12" spans="1:12" ht="15" customHeight="1" x14ac:dyDescent="0.4">
      <c r="A12" s="18"/>
      <c r="B12" s="18"/>
      <c r="C12" s="172"/>
      <c r="D12" s="18"/>
      <c r="E12" s="18"/>
      <c r="F12" s="18"/>
      <c r="G12" s="18"/>
      <c r="H12" s="18"/>
      <c r="I12" s="18"/>
      <c r="J12" s="147"/>
      <c r="K12" s="147"/>
      <c r="L12" s="14"/>
    </row>
    <row r="13" spans="1:12" ht="15" customHeight="1" x14ac:dyDescent="0.4">
      <c r="A13" s="173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"/>
    </row>
    <row r="14" spans="1:12" ht="15" customHeight="1" x14ac:dyDescent="0.4">
      <c r="A14" s="174"/>
      <c r="B14" s="154"/>
      <c r="C14" s="175"/>
      <c r="D14" s="155"/>
      <c r="E14" s="175"/>
      <c r="F14" s="176"/>
      <c r="G14" s="177"/>
      <c r="H14" s="155"/>
      <c r="I14" s="178"/>
      <c r="J14" s="155"/>
      <c r="K14" s="163"/>
      <c r="L14" s="14"/>
    </row>
    <row r="15" spans="1:12" ht="15" customHeight="1" x14ac:dyDescent="0.4">
      <c r="A15" s="174"/>
      <c r="B15" s="154"/>
      <c r="C15" s="165"/>
      <c r="D15" s="155"/>
      <c r="E15" s="165"/>
      <c r="F15" s="176"/>
      <c r="G15" s="165"/>
      <c r="H15" s="155"/>
      <c r="I15" s="165"/>
      <c r="J15" s="155"/>
      <c r="K15" s="162"/>
      <c r="L15" s="14"/>
    </row>
    <row r="16" spans="1:12" ht="15" customHeight="1" x14ac:dyDescent="0.4">
      <c r="A16" s="174"/>
      <c r="B16" s="154"/>
      <c r="C16" s="165"/>
      <c r="D16" s="165"/>
      <c r="E16" s="165"/>
      <c r="F16" s="155"/>
      <c r="G16" s="147"/>
      <c r="H16" s="165"/>
      <c r="I16" s="179"/>
      <c r="J16" s="180"/>
      <c r="K16" s="163"/>
      <c r="L16" s="14"/>
    </row>
    <row r="17" spans="1:13" ht="15" customHeight="1" x14ac:dyDescent="0.4">
      <c r="A17" s="174"/>
      <c r="B17" s="147"/>
      <c r="C17" s="181"/>
      <c r="D17" s="165"/>
      <c r="E17" s="165"/>
      <c r="F17" s="165"/>
      <c r="G17" s="165"/>
      <c r="H17" s="165"/>
      <c r="I17" s="165"/>
      <c r="J17" s="147"/>
      <c r="K17" s="163"/>
      <c r="L17" s="14"/>
    </row>
    <row r="18" spans="1:13" ht="15" customHeight="1" x14ac:dyDescent="0.4">
      <c r="A18" s="47"/>
      <c r="B18" s="83"/>
      <c r="C18" s="43"/>
      <c r="D18" s="43"/>
      <c r="E18" s="43"/>
      <c r="F18" s="43"/>
      <c r="G18" s="43"/>
      <c r="H18" s="43"/>
      <c r="I18" s="43"/>
      <c r="J18" s="42"/>
      <c r="K18" s="49"/>
    </row>
    <row r="19" spans="1:13" ht="15" customHeight="1" x14ac:dyDescent="0.4">
      <c r="A19" s="47"/>
      <c r="B19" s="84"/>
      <c r="C19" s="46"/>
      <c r="D19" s="43"/>
      <c r="E19" s="43"/>
      <c r="F19" s="43"/>
      <c r="G19" s="43"/>
      <c r="H19" s="43"/>
      <c r="I19" s="43"/>
      <c r="J19" s="42"/>
      <c r="K19" s="49"/>
    </row>
    <row r="20" spans="1:13" ht="15" customHeight="1" x14ac:dyDescent="0.4">
      <c r="A20" s="47"/>
      <c r="B20" s="81"/>
      <c r="C20" s="274"/>
      <c r="D20" s="43"/>
      <c r="E20" s="43"/>
      <c r="F20" s="43"/>
      <c r="G20" s="43"/>
      <c r="H20" s="43"/>
      <c r="I20" s="43"/>
      <c r="J20" s="42"/>
      <c r="K20" s="49"/>
    </row>
    <row r="21" spans="1:13" ht="15" customHeight="1" x14ac:dyDescent="0.4">
      <c r="A21" s="48"/>
      <c r="B21" s="43"/>
      <c r="C21" s="81"/>
      <c r="D21" s="43"/>
      <c r="E21" s="43"/>
      <c r="F21" s="43"/>
      <c r="G21" s="43"/>
      <c r="H21" s="43"/>
      <c r="I21" s="43"/>
      <c r="J21" s="42"/>
      <c r="K21" s="49"/>
    </row>
    <row r="22" spans="1:13" ht="15" customHeight="1" x14ac:dyDescent="0.4">
      <c r="A22" s="48"/>
      <c r="B22" s="43"/>
      <c r="C22" s="82"/>
      <c r="D22" s="43"/>
      <c r="E22" s="43"/>
      <c r="F22" s="43"/>
      <c r="G22" s="43"/>
      <c r="H22" s="43"/>
      <c r="I22" s="43"/>
      <c r="J22" s="42"/>
      <c r="K22" s="50"/>
    </row>
    <row r="23" spans="1:13" ht="15" customHeight="1" x14ac:dyDescent="0.45">
      <c r="A23" s="48"/>
      <c r="B23" s="44"/>
      <c r="C23" s="280"/>
      <c r="D23" s="69"/>
      <c r="E23" s="67"/>
      <c r="F23" s="44"/>
      <c r="G23" s="44"/>
      <c r="H23" s="44"/>
      <c r="I23" s="44"/>
      <c r="J23" s="44"/>
      <c r="K23" s="50"/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</row>
    <row r="26" spans="1:13" ht="15" customHeight="1" x14ac:dyDescent="0.4">
      <c r="A26" s="45"/>
      <c r="B26" s="42"/>
      <c r="C26" s="42"/>
      <c r="D26" s="42"/>
      <c r="E26" s="42"/>
      <c r="F26" s="42"/>
      <c r="G26" s="42"/>
      <c r="H26" s="42"/>
      <c r="I26" s="42"/>
      <c r="J26" s="42"/>
      <c r="K26" s="42"/>
    </row>
    <row r="27" spans="1:13" ht="15" customHeight="1" x14ac:dyDescent="0.4">
      <c r="A27" s="48"/>
      <c r="B27" s="42"/>
      <c r="C27" s="62"/>
      <c r="D27" s="42"/>
      <c r="E27" s="42"/>
      <c r="F27" s="42"/>
      <c r="G27" s="42"/>
      <c r="H27" s="42"/>
      <c r="I27" s="42"/>
      <c r="J27" s="42"/>
      <c r="K27" s="42"/>
      <c r="M27" s="42"/>
    </row>
    <row r="28" spans="1:13" ht="15" customHeight="1" x14ac:dyDescent="0.4">
      <c r="A28" s="88"/>
      <c r="B28" s="42"/>
      <c r="C28" s="6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48"/>
      <c r="B29" s="42"/>
      <c r="C29" s="62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48"/>
      <c r="B30" s="42"/>
      <c r="C30" s="62"/>
      <c r="D30" s="42"/>
      <c r="E30" s="42"/>
      <c r="F30" s="42"/>
      <c r="G30" s="42"/>
      <c r="H30" s="42"/>
      <c r="I30" s="42"/>
      <c r="J30" s="42"/>
      <c r="K30" s="42"/>
      <c r="M30" s="42"/>
    </row>
    <row r="31" spans="1:13" ht="15" customHeight="1" x14ac:dyDescent="0.4">
      <c r="A31" s="48"/>
      <c r="B31" s="42"/>
      <c r="C31" s="62"/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48"/>
      <c r="B32" s="42"/>
      <c r="C32" s="62"/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48"/>
      <c r="B33" s="42"/>
      <c r="C33" s="62"/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48"/>
      <c r="B34" s="42"/>
      <c r="C34" s="62"/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48"/>
      <c r="B35" s="42"/>
      <c r="C35" s="144"/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48"/>
      <c r="B36" s="42"/>
      <c r="C36" s="43"/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293"/>
      <c r="B37" s="42"/>
      <c r="C37" s="42"/>
      <c r="D37" s="42"/>
      <c r="E37" s="294"/>
      <c r="F37" s="147"/>
      <c r="G37" s="147"/>
      <c r="H37" s="173"/>
      <c r="I37" s="147"/>
      <c r="J37" s="147"/>
      <c r="K37" s="220"/>
      <c r="L37" s="14"/>
    </row>
    <row r="38" spans="1:13" ht="3" customHeight="1" x14ac:dyDescent="0.4">
      <c r="A38" s="147"/>
      <c r="B38" s="147"/>
      <c r="C38" s="147"/>
      <c r="D38" s="147"/>
      <c r="E38" s="147"/>
      <c r="F38" s="147"/>
      <c r="G38" s="147"/>
      <c r="H38" s="147"/>
      <c r="I38" s="147"/>
      <c r="J38" s="221"/>
      <c r="K38" s="18"/>
      <c r="L38" s="14"/>
    </row>
    <row r="39" spans="1:13" ht="15" customHeight="1" x14ac:dyDescent="0.4">
      <c r="A39" s="147"/>
      <c r="B39" s="147"/>
      <c r="C39" s="373"/>
      <c r="D39" s="147"/>
      <c r="E39" s="147"/>
      <c r="F39" s="147"/>
      <c r="G39" s="147"/>
      <c r="H39" s="147"/>
      <c r="I39" s="179"/>
      <c r="J39" s="179"/>
      <c r="K39" s="163"/>
      <c r="L39" s="14"/>
    </row>
    <row r="40" spans="1:13" ht="15" customHeight="1" x14ac:dyDescent="0.4">
      <c r="A40" s="147"/>
      <c r="B40" s="147"/>
      <c r="C40" s="147"/>
      <c r="D40" s="147"/>
      <c r="E40" s="147"/>
      <c r="F40" s="147"/>
      <c r="G40" s="179"/>
      <c r="H40" s="179"/>
      <c r="I40" s="179"/>
      <c r="J40" s="179"/>
      <c r="K40" s="220"/>
      <c r="L40" s="14"/>
    </row>
    <row r="41" spans="1:13" ht="15" customHeight="1" x14ac:dyDescent="0.4">
      <c r="A41" s="147"/>
      <c r="B41" s="147"/>
      <c r="C41" s="147"/>
      <c r="D41" s="147"/>
      <c r="E41" s="147"/>
      <c r="F41" s="147"/>
      <c r="G41" s="147"/>
      <c r="H41" s="222"/>
      <c r="I41" s="147"/>
      <c r="J41" s="147"/>
      <c r="K41" s="220"/>
      <c r="L41" s="14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147"/>
      <c r="I42" s="155"/>
      <c r="J42" s="147"/>
      <c r="K42" s="165"/>
      <c r="L42" s="14"/>
    </row>
    <row r="43" spans="1:13" ht="22.5" customHeight="1" x14ac:dyDescent="0.4">
      <c r="A43" s="155"/>
      <c r="B43" s="147"/>
      <c r="C43" s="165"/>
      <c r="D43" s="165"/>
      <c r="E43" s="208"/>
      <c r="F43" s="179"/>
      <c r="G43" s="154"/>
      <c r="H43" s="208"/>
      <c r="I43" s="165"/>
      <c r="J43" s="165"/>
      <c r="K43" s="165"/>
      <c r="L43" s="14"/>
    </row>
    <row r="44" spans="1:13" ht="15" customHeight="1" x14ac:dyDescent="0.4">
      <c r="A44" s="155"/>
      <c r="B44" s="14"/>
      <c r="C44" s="209"/>
      <c r="D44" s="209"/>
      <c r="E44" s="209"/>
      <c r="F44" s="209"/>
      <c r="G44" s="209"/>
      <c r="H44" s="209"/>
      <c r="I44" s="209"/>
      <c r="J44" s="209"/>
      <c r="K44" s="209"/>
      <c r="L44" s="14"/>
    </row>
    <row r="45" spans="1:13" ht="15" customHeight="1" x14ac:dyDescent="0.4">
      <c r="A45" s="155"/>
      <c r="B45" s="14"/>
      <c r="C45" s="14"/>
      <c r="D45" s="14"/>
      <c r="E45" s="210"/>
      <c r="F45" s="209"/>
      <c r="G45" s="209"/>
      <c r="H45" s="209"/>
      <c r="I45" s="209"/>
      <c r="J45" s="209"/>
      <c r="K45" s="209"/>
      <c r="L45" s="14"/>
    </row>
    <row r="46" spans="1:13" ht="15" customHeight="1" x14ac:dyDescent="0.4">
      <c r="A46" s="15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3" ht="21" customHeight="1" x14ac:dyDescent="0.4">
      <c r="A47" s="211"/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/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2" ht="15" customHeight="1" x14ac:dyDescent="0.4">
      <c r="A49" s="147"/>
      <c r="B49" s="14"/>
      <c r="C49" s="14"/>
      <c r="D49" s="14"/>
      <c r="E49" s="179"/>
      <c r="F49" s="214"/>
      <c r="G49" s="236"/>
      <c r="H49" s="14"/>
      <c r="I49" s="14"/>
      <c r="J49" s="14"/>
      <c r="K49" s="14"/>
      <c r="L49" s="14"/>
    </row>
    <row r="50" spans="1:12" ht="24" customHeight="1" x14ac:dyDescent="0.4">
      <c r="A50" s="165"/>
      <c r="B50" s="209"/>
      <c r="C50" s="209"/>
      <c r="D50" s="209"/>
      <c r="E50" s="14"/>
      <c r="F50" s="14"/>
      <c r="G50" s="215"/>
      <c r="H50" s="209"/>
      <c r="I50" s="209"/>
      <c r="J50" s="209"/>
      <c r="K50" s="209"/>
      <c r="L50" s="14"/>
    </row>
    <row r="51" spans="1:12" ht="15" customHeight="1" x14ac:dyDescent="0.35">
      <c r="A51" s="216"/>
      <c r="B51" s="217"/>
      <c r="C51" s="217"/>
      <c r="D51" s="217"/>
      <c r="E51" s="14"/>
      <c r="F51" s="14"/>
      <c r="G51" s="14"/>
      <c r="H51" s="218"/>
      <c r="I51" s="219"/>
      <c r="J51" s="219"/>
      <c r="K51" s="219"/>
      <c r="L51" s="14"/>
    </row>
    <row r="52" spans="1:12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2" ht="17.100000000000001" customHeight="1" x14ac:dyDescent="0.35">
      <c r="J53" s="55"/>
    </row>
    <row r="54" spans="1:12" ht="17.100000000000001" customHeight="1" x14ac:dyDescent="0.35"/>
  </sheetData>
  <sheetProtection formatCells="0" formatColumns="0" formatRows="0"/>
  <phoneticPr fontId="66" type="noConversion"/>
  <pageMargins left="0.75" right="0.75" top="0.33" bottom="0.46" header="0.33" footer="0.5"/>
  <pageSetup scale="93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zoomScaleNormal="100" workbookViewId="0">
      <selection sqref="A1:K55"/>
    </sheetView>
  </sheetViews>
  <sheetFormatPr defaultRowHeight="12.75" x14ac:dyDescent="0.35"/>
  <cols>
    <col min="2" max="2" width="4.86328125" customWidth="1"/>
    <col min="3" max="3" width="12.1328125" customWidth="1"/>
    <col min="4" max="4" width="4.1328125" customWidth="1"/>
    <col min="5" max="5" width="12.1328125" customWidth="1"/>
    <col min="6" max="6" width="3.33203125" customWidth="1"/>
    <col min="7" max="7" width="10.86328125" bestFit="1" customWidth="1"/>
    <col min="8" max="8" width="7.46484375" customWidth="1"/>
    <col min="10" max="10" width="5.6640625" customWidth="1"/>
    <col min="11" max="11" width="11.53125" bestFit="1" customWidth="1"/>
  </cols>
  <sheetData>
    <row r="1" spans="1:12" ht="13.15" x14ac:dyDescent="0.4">
      <c r="A1" s="147"/>
      <c r="B1" s="147"/>
      <c r="C1" s="147"/>
      <c r="D1" s="147"/>
      <c r="E1" s="147"/>
      <c r="F1" s="147"/>
      <c r="G1" s="147"/>
      <c r="H1" s="147"/>
      <c r="I1" s="321"/>
      <c r="J1" s="322"/>
      <c r="K1" s="323"/>
      <c r="L1" s="14"/>
    </row>
    <row r="2" spans="1:12" ht="13.15" x14ac:dyDescent="0.4">
      <c r="A2" s="147"/>
      <c r="B2" s="147"/>
      <c r="C2" s="147"/>
      <c r="D2" s="147"/>
      <c r="E2" s="147"/>
      <c r="F2" s="147"/>
      <c r="G2" s="147"/>
      <c r="H2" s="147"/>
      <c r="I2" s="321"/>
      <c r="J2" s="322"/>
      <c r="K2" s="324"/>
      <c r="L2" s="14"/>
    </row>
    <row r="3" spans="1:12" ht="17.25" x14ac:dyDescent="0.45">
      <c r="A3" s="147"/>
      <c r="B3" s="147"/>
      <c r="C3" s="147"/>
      <c r="D3" s="152"/>
      <c r="E3" s="147"/>
      <c r="F3" s="147"/>
      <c r="G3" s="147"/>
      <c r="H3" s="147"/>
      <c r="I3" s="153"/>
      <c r="J3" s="154"/>
      <c r="K3" s="154"/>
      <c r="L3" s="14"/>
    </row>
    <row r="4" spans="1:12" ht="13.15" x14ac:dyDescent="0.4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"/>
    </row>
    <row r="5" spans="1:12" ht="13.15" x14ac:dyDescent="0.4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"/>
    </row>
    <row r="6" spans="1:12" ht="13.15" x14ac:dyDescent="0.4">
      <c r="A6" s="147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"/>
    </row>
    <row r="7" spans="1:12" ht="15" customHeight="1" x14ac:dyDescent="0.4">
      <c r="A7" s="155"/>
      <c r="B7" s="156"/>
      <c r="C7" s="157"/>
      <c r="D7" s="158"/>
      <c r="E7" s="159"/>
      <c r="F7" s="147"/>
      <c r="G7" s="147"/>
      <c r="H7" s="155"/>
      <c r="I7" s="155"/>
      <c r="J7" s="160"/>
      <c r="K7" s="161"/>
      <c r="L7" s="14"/>
    </row>
    <row r="8" spans="1:12" ht="15" customHeight="1" x14ac:dyDescent="0.4">
      <c r="A8" s="147"/>
      <c r="B8" s="147"/>
      <c r="C8" s="147"/>
      <c r="D8" s="147"/>
      <c r="E8" s="147"/>
      <c r="F8" s="147"/>
      <c r="G8" s="147"/>
      <c r="H8" s="155"/>
      <c r="I8" s="155"/>
      <c r="J8" s="162"/>
      <c r="K8" s="163"/>
      <c r="L8" s="14"/>
    </row>
    <row r="9" spans="1:12" ht="15" customHeight="1" x14ac:dyDescent="0.4">
      <c r="A9" s="155"/>
      <c r="B9" s="164"/>
      <c r="C9" s="165"/>
      <c r="D9" s="165"/>
      <c r="E9" s="147"/>
      <c r="F9" s="147"/>
      <c r="G9" s="147"/>
      <c r="H9" s="155"/>
      <c r="I9" s="155"/>
      <c r="J9" s="162"/>
      <c r="K9" s="165"/>
      <c r="L9" s="14"/>
    </row>
    <row r="10" spans="1:12" ht="15" customHeight="1" x14ac:dyDescent="0.4">
      <c r="A10" s="155"/>
      <c r="B10" s="166"/>
      <c r="C10" s="165"/>
      <c r="D10" s="147"/>
      <c r="E10" s="147"/>
      <c r="F10" s="147"/>
      <c r="G10" s="147"/>
      <c r="H10" s="155"/>
      <c r="I10" s="155"/>
      <c r="J10" s="155"/>
      <c r="K10" s="147"/>
      <c r="L10" s="14"/>
    </row>
    <row r="11" spans="1:12" ht="15" customHeight="1" x14ac:dyDescent="0.4">
      <c r="A11" s="155"/>
      <c r="B11" s="167"/>
      <c r="C11" s="168"/>
      <c r="D11" s="147"/>
      <c r="E11" s="147"/>
      <c r="F11" s="147"/>
      <c r="G11" s="155"/>
      <c r="H11" s="169"/>
      <c r="I11" s="155"/>
      <c r="J11" s="170"/>
      <c r="K11" s="171"/>
      <c r="L11" s="14"/>
    </row>
    <row r="12" spans="1:12" ht="15" customHeight="1" x14ac:dyDescent="0.4">
      <c r="A12" s="18"/>
      <c r="B12" s="18"/>
      <c r="C12" s="172"/>
      <c r="D12" s="18"/>
      <c r="E12" s="18"/>
      <c r="F12" s="18"/>
      <c r="G12" s="18"/>
      <c r="H12" s="18"/>
      <c r="I12" s="18"/>
      <c r="J12" s="147"/>
      <c r="K12" s="147"/>
      <c r="L12" s="14"/>
    </row>
    <row r="13" spans="1:12" ht="15" customHeight="1" x14ac:dyDescent="0.4">
      <c r="A13" s="173"/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"/>
    </row>
    <row r="14" spans="1:12" ht="15" customHeight="1" x14ac:dyDescent="0.4">
      <c r="A14" s="174"/>
      <c r="B14" s="154"/>
      <c r="C14" s="175"/>
      <c r="D14" s="155"/>
      <c r="E14" s="175"/>
      <c r="F14" s="176"/>
      <c r="G14" s="177"/>
      <c r="H14" s="155"/>
      <c r="I14" s="178"/>
      <c r="J14" s="155"/>
      <c r="K14" s="163"/>
      <c r="L14" s="14"/>
    </row>
    <row r="15" spans="1:12" ht="15" customHeight="1" x14ac:dyDescent="0.4">
      <c r="A15" s="174"/>
      <c r="B15" s="154"/>
      <c r="C15" s="165"/>
      <c r="D15" s="155"/>
      <c r="E15" s="165"/>
      <c r="F15" s="176"/>
      <c r="G15" s="165"/>
      <c r="H15" s="155"/>
      <c r="I15" s="165"/>
      <c r="J15" s="155"/>
      <c r="K15" s="162"/>
      <c r="L15" s="14"/>
    </row>
    <row r="16" spans="1:12" ht="15" customHeight="1" x14ac:dyDescent="0.4">
      <c r="A16" s="174"/>
      <c r="B16" s="154"/>
      <c r="C16" s="165"/>
      <c r="D16" s="165"/>
      <c r="E16" s="165"/>
      <c r="F16" s="155"/>
      <c r="G16" s="147"/>
      <c r="H16" s="165"/>
      <c r="I16" s="179"/>
      <c r="J16" s="180"/>
      <c r="K16" s="163"/>
      <c r="L16" s="14"/>
    </row>
    <row r="17" spans="1:13" ht="15" customHeight="1" x14ac:dyDescent="0.4">
      <c r="A17" s="174"/>
      <c r="B17" s="147"/>
      <c r="C17" s="181"/>
      <c r="D17" s="165"/>
      <c r="E17" s="165"/>
      <c r="F17" s="165"/>
      <c r="G17" s="165"/>
      <c r="H17" s="165"/>
      <c r="I17" s="165"/>
      <c r="J17" s="147"/>
      <c r="K17" s="163"/>
      <c r="L17" s="14"/>
    </row>
    <row r="18" spans="1:13" ht="15" customHeight="1" x14ac:dyDescent="0.4">
      <c r="A18" s="47"/>
      <c r="B18" s="83"/>
      <c r="C18" s="43"/>
      <c r="D18" s="43"/>
      <c r="E18" s="43"/>
      <c r="F18" s="43"/>
      <c r="G18" s="43"/>
      <c r="H18" s="43"/>
      <c r="I18" s="43"/>
      <c r="J18" s="42"/>
      <c r="K18" s="49"/>
    </row>
    <row r="19" spans="1:13" ht="15" customHeight="1" x14ac:dyDescent="0.4">
      <c r="A19" s="47"/>
      <c r="B19" s="84"/>
      <c r="C19" s="46"/>
      <c r="D19" s="43"/>
      <c r="E19" s="43"/>
      <c r="F19" s="43"/>
      <c r="G19" s="43"/>
      <c r="H19" s="43"/>
      <c r="I19" s="43"/>
      <c r="J19" s="42"/>
      <c r="K19" s="49"/>
    </row>
    <row r="20" spans="1:13" ht="15" customHeight="1" x14ac:dyDescent="0.4">
      <c r="A20" s="47"/>
      <c r="B20" s="81"/>
      <c r="C20" s="274"/>
      <c r="D20" s="43"/>
      <c r="E20" s="43"/>
      <c r="F20" s="43"/>
      <c r="G20" s="43"/>
      <c r="H20" s="43"/>
      <c r="I20" s="43"/>
      <c r="J20" s="42"/>
      <c r="K20" s="49"/>
    </row>
    <row r="21" spans="1:13" ht="15" customHeight="1" x14ac:dyDescent="0.4">
      <c r="A21" s="48"/>
      <c r="B21" s="43"/>
      <c r="C21" s="81"/>
      <c r="D21" s="43"/>
      <c r="E21" s="43"/>
      <c r="F21" s="43"/>
      <c r="G21" s="43"/>
      <c r="H21" s="43"/>
      <c r="I21" s="43"/>
      <c r="J21" s="42"/>
      <c r="K21" s="49"/>
    </row>
    <row r="22" spans="1:13" ht="15" customHeight="1" x14ac:dyDescent="0.4">
      <c r="A22" s="48"/>
      <c r="B22" s="43"/>
      <c r="C22" s="82"/>
      <c r="D22" s="43"/>
      <c r="E22" s="43"/>
      <c r="F22" s="43"/>
      <c r="G22" s="43"/>
      <c r="H22" s="43"/>
      <c r="I22" s="43"/>
      <c r="J22" s="42"/>
      <c r="K22" s="50"/>
    </row>
    <row r="23" spans="1:13" ht="15" customHeight="1" x14ac:dyDescent="0.45">
      <c r="A23" s="48"/>
      <c r="B23" s="44"/>
      <c r="C23" s="280"/>
      <c r="D23" s="69"/>
      <c r="E23" s="67"/>
      <c r="F23" s="44"/>
      <c r="G23" s="44"/>
      <c r="H23" s="44"/>
      <c r="I23" s="44"/>
      <c r="J23" s="44"/>
      <c r="K23" s="50"/>
    </row>
    <row r="24" spans="1:13" ht="15" customHeight="1" x14ac:dyDescent="0.4">
      <c r="A24" s="42"/>
      <c r="B24" s="42"/>
      <c r="C24" s="42"/>
      <c r="D24" s="42"/>
      <c r="E24" s="42"/>
      <c r="F24" s="42"/>
      <c r="H24" s="51"/>
      <c r="I24" s="42"/>
      <c r="J24" s="42"/>
      <c r="K24" s="52"/>
    </row>
    <row r="25" spans="1:13" ht="15" customHeight="1" x14ac:dyDescent="0.4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</row>
    <row r="26" spans="1:13" ht="15" customHeight="1" x14ac:dyDescent="0.4">
      <c r="A26" s="45"/>
      <c r="B26" s="42"/>
      <c r="C26" s="42"/>
      <c r="D26" s="42"/>
      <c r="E26" s="42"/>
      <c r="F26" s="42"/>
      <c r="G26" s="42"/>
      <c r="H26" s="42"/>
      <c r="I26" s="42"/>
      <c r="J26" s="42"/>
      <c r="K26" s="42"/>
    </row>
    <row r="27" spans="1:13" ht="15" customHeight="1" x14ac:dyDescent="0.4">
      <c r="A27" s="48"/>
      <c r="B27" s="42"/>
      <c r="C27" s="62"/>
      <c r="D27" s="42"/>
      <c r="E27" s="42"/>
      <c r="F27" s="42"/>
      <c r="G27" s="42"/>
      <c r="H27" s="42"/>
      <c r="I27" s="42"/>
      <c r="J27" s="42"/>
      <c r="K27" s="42"/>
      <c r="M27" s="42"/>
    </row>
    <row r="28" spans="1:13" ht="15" customHeight="1" x14ac:dyDescent="0.4">
      <c r="A28" s="88"/>
      <c r="B28" s="42"/>
      <c r="C28" s="62"/>
      <c r="D28" s="42"/>
      <c r="E28" s="42"/>
      <c r="F28" s="42"/>
      <c r="G28" s="42"/>
      <c r="H28" s="42"/>
      <c r="I28" s="42"/>
      <c r="J28" s="42"/>
      <c r="K28" s="42"/>
      <c r="M28" s="42"/>
    </row>
    <row r="29" spans="1:13" ht="15" customHeight="1" x14ac:dyDescent="0.4">
      <c r="A29" s="48"/>
      <c r="B29" s="42"/>
      <c r="C29" s="62"/>
      <c r="D29" s="42"/>
      <c r="E29" s="42"/>
      <c r="F29" s="42"/>
      <c r="G29" s="42"/>
      <c r="H29" s="42"/>
      <c r="I29" s="42"/>
      <c r="J29" s="42"/>
      <c r="K29" s="42"/>
      <c r="M29" s="42"/>
    </row>
    <row r="30" spans="1:13" ht="15" customHeight="1" x14ac:dyDescent="0.4">
      <c r="A30" s="48"/>
      <c r="B30" s="42"/>
      <c r="C30" s="62"/>
      <c r="D30" s="42"/>
      <c r="E30" s="42"/>
      <c r="F30" s="42"/>
      <c r="G30" s="42"/>
      <c r="H30" s="42"/>
      <c r="I30" s="42"/>
      <c r="J30" s="42"/>
      <c r="K30" s="42"/>
      <c r="M30" s="42"/>
    </row>
    <row r="31" spans="1:13" ht="15" customHeight="1" x14ac:dyDescent="0.4">
      <c r="A31" s="48"/>
      <c r="B31" s="42"/>
      <c r="C31" s="62"/>
      <c r="D31" s="42"/>
      <c r="E31" s="42"/>
      <c r="F31" s="42"/>
      <c r="G31" s="42"/>
      <c r="H31" s="42"/>
      <c r="I31" s="42"/>
      <c r="J31" s="42"/>
      <c r="K31" s="42"/>
      <c r="M31" s="42"/>
    </row>
    <row r="32" spans="1:13" ht="15" customHeight="1" x14ac:dyDescent="0.4">
      <c r="A32" s="48"/>
      <c r="B32" s="42"/>
      <c r="C32" s="62"/>
      <c r="D32" s="42"/>
      <c r="E32" s="42"/>
      <c r="F32" s="42"/>
      <c r="G32" s="42"/>
      <c r="H32" s="42"/>
      <c r="I32" s="42"/>
      <c r="J32" s="42"/>
      <c r="K32" s="42"/>
      <c r="M32" s="42"/>
    </row>
    <row r="33" spans="1:13" ht="15" customHeight="1" x14ac:dyDescent="0.4">
      <c r="A33" s="48"/>
      <c r="B33" s="42"/>
      <c r="C33" s="62"/>
      <c r="D33" s="42"/>
      <c r="E33" s="42"/>
      <c r="F33" s="42"/>
      <c r="G33" s="42"/>
      <c r="H33" s="42"/>
      <c r="I33" s="42"/>
      <c r="J33" s="42"/>
      <c r="K33" s="42"/>
      <c r="M33" s="42"/>
    </row>
    <row r="34" spans="1:13" ht="15" customHeight="1" x14ac:dyDescent="0.4">
      <c r="A34" s="48"/>
      <c r="B34" s="42"/>
      <c r="C34" s="62"/>
      <c r="D34" s="42"/>
      <c r="E34" s="42"/>
      <c r="F34" s="42"/>
      <c r="G34" s="42"/>
      <c r="H34" s="42"/>
      <c r="I34" s="42"/>
      <c r="J34" s="42"/>
      <c r="K34" s="42"/>
    </row>
    <row r="35" spans="1:13" ht="15" customHeight="1" x14ac:dyDescent="0.4">
      <c r="A35" s="48"/>
      <c r="B35" s="42"/>
      <c r="C35" s="144"/>
      <c r="D35" s="42"/>
      <c r="E35" s="42"/>
      <c r="F35" s="42"/>
      <c r="G35" s="42"/>
      <c r="H35" s="42"/>
      <c r="I35" s="42"/>
      <c r="J35" s="42"/>
      <c r="K35" s="42"/>
    </row>
    <row r="36" spans="1:13" ht="15" customHeight="1" x14ac:dyDescent="0.4">
      <c r="A36" s="48"/>
      <c r="B36" s="42"/>
      <c r="C36" s="43"/>
      <c r="D36" s="42"/>
      <c r="E36" s="42"/>
      <c r="F36" s="42"/>
      <c r="G36" s="42"/>
      <c r="H36" s="42"/>
      <c r="I36" s="42"/>
      <c r="J36" s="42"/>
      <c r="K36" s="42"/>
    </row>
    <row r="37" spans="1:13" ht="15" customHeight="1" x14ac:dyDescent="0.4">
      <c r="A37" s="293"/>
      <c r="B37" s="42"/>
      <c r="C37" s="42"/>
      <c r="D37" s="42"/>
      <c r="E37" s="294"/>
      <c r="F37" s="147"/>
      <c r="G37" s="147"/>
      <c r="H37" s="173"/>
      <c r="I37" s="147"/>
      <c r="J37" s="147"/>
      <c r="K37" s="220"/>
      <c r="L37" s="14"/>
    </row>
    <row r="38" spans="1:13" ht="3" customHeight="1" x14ac:dyDescent="0.4">
      <c r="A38" s="147"/>
      <c r="B38" s="147"/>
      <c r="C38" s="147"/>
      <c r="D38" s="147"/>
      <c r="E38" s="147"/>
      <c r="F38" s="147"/>
      <c r="G38" s="147"/>
      <c r="H38" s="147"/>
      <c r="I38" s="147"/>
      <c r="J38" s="221"/>
      <c r="K38" s="18"/>
      <c r="L38" s="14"/>
    </row>
    <row r="39" spans="1:13" ht="15" customHeight="1" x14ac:dyDescent="0.4">
      <c r="A39" s="147"/>
      <c r="B39" s="147"/>
      <c r="C39" s="373"/>
      <c r="D39" s="147"/>
      <c r="E39" s="147"/>
      <c r="F39" s="147"/>
      <c r="G39" s="147"/>
      <c r="H39" s="147"/>
      <c r="I39" s="179"/>
      <c r="J39" s="179"/>
      <c r="K39" s="163"/>
      <c r="L39" s="14"/>
    </row>
    <row r="40" spans="1:13" ht="15" customHeight="1" x14ac:dyDescent="0.4">
      <c r="A40" s="147"/>
      <c r="B40" s="147"/>
      <c r="C40" s="147"/>
      <c r="D40" s="147"/>
      <c r="E40" s="147"/>
      <c r="F40" s="147"/>
      <c r="G40" s="179"/>
      <c r="H40" s="179"/>
      <c r="I40" s="179"/>
      <c r="J40" s="179"/>
      <c r="K40" s="220"/>
      <c r="L40" s="14"/>
    </row>
    <row r="41" spans="1:13" ht="15" customHeight="1" x14ac:dyDescent="0.4">
      <c r="A41" s="147"/>
      <c r="B41" s="147"/>
      <c r="C41" s="147"/>
      <c r="D41" s="147"/>
      <c r="E41" s="147"/>
      <c r="F41" s="147"/>
      <c r="G41" s="147"/>
      <c r="H41" s="222"/>
      <c r="I41" s="147"/>
      <c r="J41" s="147"/>
      <c r="K41" s="220"/>
      <c r="L41" s="14"/>
    </row>
    <row r="42" spans="1:13" ht="15" customHeight="1" x14ac:dyDescent="0.4">
      <c r="A42" s="147"/>
      <c r="B42" s="147"/>
      <c r="C42" s="147"/>
      <c r="D42" s="147"/>
      <c r="E42" s="147"/>
      <c r="F42" s="147"/>
      <c r="G42" s="147"/>
      <c r="H42" s="147"/>
      <c r="I42" s="155"/>
      <c r="J42" s="147"/>
      <c r="K42" s="165"/>
      <c r="L42" s="14"/>
    </row>
    <row r="43" spans="1:13" ht="22.5" customHeight="1" x14ac:dyDescent="0.4">
      <c r="A43" s="155"/>
      <c r="B43" s="147"/>
      <c r="C43" s="165"/>
      <c r="D43" s="165"/>
      <c r="E43" s="208"/>
      <c r="F43" s="179"/>
      <c r="G43" s="154"/>
      <c r="H43" s="208"/>
      <c r="I43" s="165"/>
      <c r="J43" s="165"/>
      <c r="K43" s="165"/>
      <c r="L43" s="14"/>
    </row>
    <row r="44" spans="1:13" ht="15" customHeight="1" x14ac:dyDescent="0.4">
      <c r="A44" s="155"/>
      <c r="B44" s="14"/>
      <c r="C44" s="209"/>
      <c r="D44" s="209"/>
      <c r="E44" s="209"/>
      <c r="F44" s="209"/>
      <c r="G44" s="209"/>
      <c r="H44" s="209"/>
      <c r="I44" s="209"/>
      <c r="J44" s="209"/>
      <c r="K44" s="209"/>
      <c r="L44" s="14"/>
    </row>
    <row r="45" spans="1:13" ht="15" customHeight="1" x14ac:dyDescent="0.4">
      <c r="A45" s="155"/>
      <c r="B45" s="14"/>
      <c r="C45" s="14"/>
      <c r="D45" s="14"/>
      <c r="E45" s="210"/>
      <c r="F45" s="209"/>
      <c r="G45" s="209"/>
      <c r="H45" s="209"/>
      <c r="I45" s="209"/>
      <c r="J45" s="209"/>
      <c r="K45" s="209"/>
      <c r="L45" s="14"/>
    </row>
    <row r="46" spans="1:13" ht="15" customHeight="1" x14ac:dyDescent="0.4">
      <c r="A46" s="155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3" ht="21" customHeight="1" x14ac:dyDescent="0.4">
      <c r="A47" s="211"/>
      <c r="B47" s="212"/>
      <c r="C47" s="212"/>
      <c r="D47" s="212"/>
      <c r="E47" s="212"/>
      <c r="F47" s="212"/>
      <c r="G47" s="212"/>
      <c r="H47" s="212"/>
      <c r="I47" s="212"/>
      <c r="J47" s="213"/>
      <c r="K47" s="212"/>
      <c r="L47" s="14"/>
    </row>
    <row r="48" spans="1:13" ht="21" customHeight="1" x14ac:dyDescent="0.4">
      <c r="A48" s="211"/>
      <c r="B48" s="212"/>
      <c r="C48" s="212"/>
      <c r="D48" s="212"/>
      <c r="E48" s="212"/>
      <c r="F48" s="212"/>
      <c r="G48" s="212"/>
      <c r="H48" s="212"/>
      <c r="I48" s="212"/>
      <c r="J48" s="213"/>
      <c r="K48" s="212"/>
      <c r="L48" s="14"/>
    </row>
    <row r="49" spans="1:12" ht="15" customHeight="1" x14ac:dyDescent="0.4">
      <c r="A49" s="147"/>
      <c r="B49" s="14"/>
      <c r="C49" s="14"/>
      <c r="D49" s="14"/>
      <c r="E49" s="179"/>
      <c r="F49" s="214"/>
      <c r="G49" s="236"/>
      <c r="H49" s="14"/>
      <c r="I49" s="14"/>
      <c r="J49" s="14"/>
      <c r="K49" s="14"/>
      <c r="L49" s="14"/>
    </row>
    <row r="50" spans="1:12" ht="24" customHeight="1" x14ac:dyDescent="0.4">
      <c r="A50" s="165"/>
      <c r="B50" s="209"/>
      <c r="C50" s="209"/>
      <c r="D50" s="209"/>
      <c r="E50" s="14"/>
      <c r="F50" s="14"/>
      <c r="G50" s="215"/>
      <c r="H50" s="209"/>
      <c r="I50" s="209"/>
      <c r="J50" s="209"/>
      <c r="K50" s="209"/>
      <c r="L50" s="14"/>
    </row>
    <row r="51" spans="1:12" ht="15" customHeight="1" x14ac:dyDescent="0.35">
      <c r="A51" s="216"/>
      <c r="B51" s="217"/>
      <c r="C51" s="217"/>
      <c r="D51" s="217"/>
      <c r="E51" s="14"/>
      <c r="F51" s="14"/>
      <c r="G51" s="14"/>
      <c r="H51" s="218"/>
      <c r="I51" s="219"/>
      <c r="J51" s="219"/>
      <c r="K51" s="219"/>
      <c r="L51" s="14"/>
    </row>
    <row r="52" spans="1:12" ht="17.100000000000001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7"/>
    </row>
    <row r="53" spans="1:12" ht="17.100000000000001" customHeight="1" x14ac:dyDescent="0.35">
      <c r="J53" s="55"/>
    </row>
    <row r="54" spans="1:12" ht="17.100000000000001" customHeight="1" x14ac:dyDescent="0.35"/>
  </sheetData>
  <sheetProtection formatCells="0" formatColumns="0" formatRows="0"/>
  <phoneticPr fontId="66" type="noConversion"/>
  <pageMargins left="0.75" right="0.75" top="0.33" bottom="0.46" header="0.33" footer="0.5"/>
  <pageSetup scale="93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9A8340F9ABDE94DA30DF2759E565084" ma:contentTypeVersion="0" ma:contentTypeDescription="Создание документа." ma:contentTypeScope="" ma:versionID="3083cdefe2a5fd047dba0df2e913d33a">
  <xsd:schema xmlns:xsd="http://www.w3.org/2001/XMLSchema" xmlns:p="http://schemas.microsoft.com/office/2006/metadata/properties" targetNamespace="http://schemas.microsoft.com/office/2006/metadata/properties" ma:root="true" ma:fieldsID="53974d1da0c14f073d2cc649cae9f3e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одержимого" ma:readOnly="true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B2FF47-27A1-456B-B2ED-27DF178415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310FE8-9038-4AA8-A43B-B827DD5925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2A85C5BC-C931-4561-8702-98A782682F6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30</vt:i4>
      </vt:variant>
      <vt:variant>
        <vt:lpstr>Именованные диапазоны</vt:lpstr>
      </vt:variant>
      <vt:variant>
        <vt:i4>3</vt:i4>
      </vt:variant>
    </vt:vector>
  </HeadingPairs>
  <TitlesOfParts>
    <vt:vector size="33" baseType="lpstr">
      <vt:lpstr>Portage Bill</vt:lpstr>
      <vt:lpstr>deduct list</vt:lpstr>
      <vt:lpstr>Master</vt:lpstr>
      <vt:lpstr>Chief mate</vt:lpstr>
      <vt:lpstr>2nd mate</vt:lpstr>
      <vt:lpstr>3rd mate</vt:lpstr>
      <vt:lpstr>Chief Engineer</vt:lpstr>
      <vt:lpstr>2nd Engineer</vt:lpstr>
      <vt:lpstr>3rd Engineer</vt:lpstr>
      <vt:lpstr>4th Eng</vt:lpstr>
      <vt:lpstr>El.eng</vt:lpstr>
      <vt:lpstr>BSN</vt:lpstr>
      <vt:lpstr>ABS1</vt:lpstr>
      <vt:lpstr>ABS2</vt:lpstr>
      <vt:lpstr>ABS 3 </vt:lpstr>
      <vt:lpstr>OS1</vt:lpstr>
      <vt:lpstr>OS2</vt:lpstr>
      <vt:lpstr>OLR1</vt:lpstr>
      <vt:lpstr>OLR2</vt:lpstr>
      <vt:lpstr>OLR3</vt:lpstr>
      <vt:lpstr>Wiper</vt:lpstr>
      <vt:lpstr>CCK</vt:lpstr>
      <vt:lpstr>MMN</vt:lpstr>
      <vt:lpstr>Welder</vt:lpstr>
      <vt:lpstr>EFITTER</vt:lpstr>
      <vt:lpstr>ELCTRN</vt:lpstr>
      <vt:lpstr>MM4 (5)</vt:lpstr>
      <vt:lpstr>MM4 (3)</vt:lpstr>
      <vt:lpstr>MM4 (4)</vt:lpstr>
      <vt:lpstr>Лист1</vt:lpstr>
      <vt:lpstr>'Portage Bill'!Заголовки_для_печати</vt:lpstr>
      <vt:lpstr>'3rd Engineer'!Область_печати</vt:lpstr>
      <vt:lpstr>'3rd mate'!Область_печати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Portage Bill</dc:title>
  <dc:creator>Denysenko S. m/v "ALCHIBA"</dc:creator>
  <cp:lastModifiedBy>pavel</cp:lastModifiedBy>
  <cp:lastPrinted>2013-04-15T10:50:56Z</cp:lastPrinted>
  <dcterms:created xsi:type="dcterms:W3CDTF">1999-10-30T20:06:27Z</dcterms:created>
  <dcterms:modified xsi:type="dcterms:W3CDTF">2026-02-03T21:10:55Z</dcterms:modified>
</cp:coreProperties>
</file>